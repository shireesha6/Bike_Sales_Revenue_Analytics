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81a39a8094046e0/Desktop/"/>
    </mc:Choice>
  </mc:AlternateContent>
  <xr:revisionPtr revIDLastSave="0" documentId="8_{5B10E247-EB2D-4C39-AF42-88A2461D8B6B}" xr6:coauthVersionLast="47" xr6:coauthVersionMax="47" xr10:uidLastSave="{00000000-0000-0000-0000-000000000000}"/>
  <bookViews>
    <workbookView xWindow="-108" yWindow="-108" windowWidth="23256" windowHeight="12456" activeTab="3" xr2:uid="{10298EF0-8570-43C1-97EA-449CF092D604}"/>
  </bookViews>
  <sheets>
    <sheet name="Sheet3" sheetId="3" r:id="rId1"/>
    <sheet name="Sheet4" sheetId="4" r:id="rId2"/>
    <sheet name="Sheet5" sheetId="5" r:id="rId3"/>
    <sheet name="Dashboard" sheetId="6" r:id="rId4"/>
    <sheet name="Raw_Data" sheetId="1" r:id="rId5"/>
  </sheets>
  <definedNames>
    <definedName name="_xlcn.WorksheetConnection_Book1Table11" hidden="1">Table1[]</definedName>
    <definedName name="_xlcn.WorksheetConnection_Raw_DataR1V21" hidden="1">Raw_Data!$R$1:$V$2</definedName>
  </definedNames>
  <calcPr calcId="191029"/>
  <pivotCaches>
    <pivotCache cacheId="26" r:id="rId6"/>
    <pivotCache cacheId="43" r:id="rId7"/>
    <pivotCache cacheId="66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Raw_Data!$R$1:$V$2"/>
          <x15:modelTable id="Table1" name="Table1" connection="WorksheetConnection_Book1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" i="1" l="1"/>
  <c r="U2" i="1"/>
  <c r="R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V2" i="1"/>
  <c r="T2" i="1"/>
  <c r="P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82047A-0DC6-4525-B791-5BD66ACC6FE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51ED9B7-946D-4461-97D6-74C9477906B2}" name="WorksheetConnection_Book1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Book1Table11"/>
        </x15:connection>
      </ext>
    </extLst>
  </connection>
  <connection id="3" xr16:uid="{616D5670-33D1-420F-9EC0-54E640D34CBD}" name="WorksheetConnection_Raw_Data!$R$1:$V$2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Raw_DataR1V21"/>
        </x15:connection>
      </ext>
    </extLst>
  </connection>
</connections>
</file>

<file path=xl/sharedStrings.xml><?xml version="1.0" encoding="utf-8"?>
<sst xmlns="http://schemas.openxmlformats.org/spreadsheetml/2006/main" count="901" uniqueCount="223">
  <si>
    <t>State</t>
  </si>
  <si>
    <t>City</t>
  </si>
  <si>
    <t>Brand</t>
  </si>
  <si>
    <t>Model</t>
  </si>
  <si>
    <t>Engine_CC</t>
  </si>
  <si>
    <t>Mileage</t>
  </si>
  <si>
    <t>Price</t>
  </si>
  <si>
    <t>Customer_Age</t>
  </si>
  <si>
    <t>Occupation</t>
  </si>
  <si>
    <t>Payment_Mode</t>
  </si>
  <si>
    <t>Customer_Rating</t>
  </si>
  <si>
    <t>Sales_Quantity</t>
  </si>
  <si>
    <t>Profit</t>
  </si>
  <si>
    <t>Customer_ID       Purchase_Date  State  City  Brand | Model | Engine_CC | Mileage | Price | Customer_Age | Occupation | Payment_Mode | Customer_Rating | Sales_Quantity | Profit</t>
  </si>
  <si>
    <t>Purchase_Date</t>
  </si>
  <si>
    <t>CUST001</t>
  </si>
  <si>
    <t>Andhra Pradesh</t>
  </si>
  <si>
    <t>Vizianagaram</t>
  </si>
  <si>
    <t>Royal Enfield</t>
  </si>
  <si>
    <t>Guerrilla 450</t>
  </si>
  <si>
    <t>Software Engineer</t>
  </si>
  <si>
    <t>Finance</t>
  </si>
  <si>
    <t>CUST002</t>
  </si>
  <si>
    <t>Telangana</t>
  </si>
  <si>
    <t>Hyderabad</t>
  </si>
  <si>
    <t>Yamaha</t>
  </si>
  <si>
    <t>MT-15</t>
  </si>
  <si>
    <t>Student</t>
  </si>
  <si>
    <t>UPI</t>
  </si>
  <si>
    <t>CUST003</t>
  </si>
  <si>
    <t>Karnataka</t>
  </si>
  <si>
    <t>Bengaluru</t>
  </si>
  <si>
    <t>KTM</t>
  </si>
  <si>
    <t>390 Duke</t>
  </si>
  <si>
    <t>Engineer</t>
  </si>
  <si>
    <t>CUST004</t>
  </si>
  <si>
    <t>Tamil Nadu</t>
  </si>
  <si>
    <t>Chennai</t>
  </si>
  <si>
    <t>Honda</t>
  </si>
  <si>
    <t>Shine</t>
  </si>
  <si>
    <t>Teacher</t>
  </si>
  <si>
    <t>Cash</t>
  </si>
  <si>
    <t>CUST005</t>
  </si>
  <si>
    <t>Maharashtra</t>
  </si>
  <si>
    <t>Pune</t>
  </si>
  <si>
    <t>Bajaj</t>
  </si>
  <si>
    <t>Pulsar NS200</t>
  </si>
  <si>
    <t>Business</t>
  </si>
  <si>
    <t>CUST006</t>
  </si>
  <si>
    <t>Warangal</t>
  </si>
  <si>
    <t>Classic 350</t>
  </si>
  <si>
    <t>Bank Employee</t>
  </si>
  <si>
    <t>CUST007</t>
  </si>
  <si>
    <t>Visakhapatnam</t>
  </si>
  <si>
    <t>TVS</t>
  </si>
  <si>
    <t>Apache RTR 200</t>
  </si>
  <si>
    <t>CUST008</t>
  </si>
  <si>
    <t>Kerala</t>
  </si>
  <si>
    <t>Kochi</t>
  </si>
  <si>
    <t>Hero</t>
  </si>
  <si>
    <t>Xtreme 160R</t>
  </si>
  <si>
    <t>Sales Executive</t>
  </si>
  <si>
    <t>CUST009</t>
  </si>
  <si>
    <t>Mysuru</t>
  </si>
  <si>
    <t>Suzuki</t>
  </si>
  <si>
    <t>Gixxer</t>
  </si>
  <si>
    <t>Doctor</t>
  </si>
  <si>
    <t>Card</t>
  </si>
  <si>
    <t>CUST010</t>
  </si>
  <si>
    <t>Vijayawada</t>
  </si>
  <si>
    <t>Hunter 350</t>
  </si>
  <si>
    <t>CUST011</t>
  </si>
  <si>
    <t>250 Duke</t>
  </si>
  <si>
    <t>CUST012</t>
  </si>
  <si>
    <t>Coimbatore</t>
  </si>
  <si>
    <t>Ronin</t>
  </si>
  <si>
    <t>Manager</t>
  </si>
  <si>
    <t>CUST013</t>
  </si>
  <si>
    <t>Mumbai</t>
  </si>
  <si>
    <t>SP 125</t>
  </si>
  <si>
    <t>CUST014</t>
  </si>
  <si>
    <t>Srikakulam</t>
  </si>
  <si>
    <t>Pulsar 150</t>
  </si>
  <si>
    <t>CUST015</t>
  </si>
  <si>
    <t>Interceptor 650</t>
  </si>
  <si>
    <t>CUST016</t>
  </si>
  <si>
    <t>R15 V4</t>
  </si>
  <si>
    <t>CUST017</t>
  </si>
  <si>
    <t>Unicorn</t>
  </si>
  <si>
    <t>Government Employee</t>
  </si>
  <si>
    <t>CUST018</t>
  </si>
  <si>
    <t>Thiruvananthapuram</t>
  </si>
  <si>
    <t>390 Adventure</t>
  </si>
  <si>
    <t>CUST019</t>
  </si>
  <si>
    <t>Meteor 350</t>
  </si>
  <si>
    <t>CUST020</t>
  </si>
  <si>
    <t>Nagpur</t>
  </si>
  <si>
    <t>Apache RTR 160</t>
  </si>
  <si>
    <t>CUST021</t>
  </si>
  <si>
    <t>FZ-FI</t>
  </si>
  <si>
    <t>CUST022</t>
  </si>
  <si>
    <t>Mangaluru</t>
  </si>
  <si>
    <t>Xpulse 200</t>
  </si>
  <si>
    <t>Photographer</t>
  </si>
  <si>
    <t>CUST023</t>
  </si>
  <si>
    <t>Dominar 400</t>
  </si>
  <si>
    <t>CUST024</t>
  </si>
  <si>
    <t>Madurai</t>
  </si>
  <si>
    <t>Hornet 2.0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</si>
  <si>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</si>
  <si>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</si>
  <si>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</si>
  <si>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</si>
  <si>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</si>
  <si>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</si>
  <si>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</si>
  <si>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</si>
  <si>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Secunderabad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</si>
  <si>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</si>
  <si>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</si>
  <si>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</si>
  <si>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</si>
  <si>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</si>
  <si>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</si>
  <si>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</si>
  <si>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</si>
  <si>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</si>
  <si>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</si>
  <si>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</si>
  <si>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</si>
  <si>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</si>
  <si>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</si>
  <si>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</si>
  <si>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</si>
  <si>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</si>
  <si>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</si>
  <si>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</si>
  <si>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</si>
  <si>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</si>
  <si>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</si>
  <si>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</si>
  <si>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</si>
  <si>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</si>
  <si>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</si>
  <si>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</si>
  <si>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</si>
  <si>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</si>
  <si>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</si>
  <si>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</si>
  <si>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</si>
  <si>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</si>
  <si>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</si>
  <si>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</si>
  <si>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</si>
  <si>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</si>
  <si>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</si>
  <si>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</si>
  <si>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</si>
  <si>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</si>
  <si>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</si>
  <si>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</si>
  <si>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</si>
  <si>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</si>
  <si>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</si>
  <si>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</si>
  <si>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</si>
  <si>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</si>
  <si>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</si>
  <si>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</si>
  <si>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</si>
  <si>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</si>
  <si>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</si>
  <si>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</si>
  <si>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</si>
  <si>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</si>
  <si>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</si>
  <si>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</si>
  <si>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</si>
  <si>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</si>
  <si>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</si>
  <si>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</si>
  <si>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</si>
  <si>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</si>
  <si>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</si>
  <si>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</si>
  <si>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</si>
  <si>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</si>
  <si>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</si>
  <si>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</si>
  <si>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</si>
  <si>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</si>
  <si>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</si>
  <si>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</si>
  <si>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</si>
  <si>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</si>
  <si>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</si>
  <si>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</si>
  <si>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</si>
  <si>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</si>
  <si>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</si>
  <si>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</si>
  <si>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</si>
  <si>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</si>
  <si>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</si>
  <si>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</si>
  <si>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</si>
  <si>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Revenue</t>
  </si>
  <si>
    <t>Total Revenue</t>
  </si>
  <si>
    <t>Total Profit</t>
  </si>
  <si>
    <t>Total units sold</t>
  </si>
  <si>
    <t>Average Bike price</t>
  </si>
  <si>
    <t>Average coustumer rating</t>
  </si>
  <si>
    <t>Row Labels</t>
  </si>
  <si>
    <t>Grand Total</t>
  </si>
  <si>
    <t>Sum of Sales_Quantity</t>
  </si>
  <si>
    <t>Sum of Revenue</t>
  </si>
  <si>
    <t>Sum of Profit</t>
  </si>
  <si>
    <t>Bike Sales Dashboard</t>
  </si>
  <si>
    <t>Heading</t>
  </si>
  <si>
    <t>Value</t>
  </si>
  <si>
    <t>Total Units Sold</t>
  </si>
  <si>
    <t>Average Bike Price</t>
  </si>
  <si>
    <t>Avg Customer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</si>
</sst>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14009]dd/mm/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169" fontId="1" fillId="0" borderId="0" xfId="0" applyNumberFormat="1" applyFont="1"/>
    <xf numFmtId="16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5">
    <dxf>
      <numFmt numFmtId="0" formatCode="General"/>
    </dxf>
    <dxf>
      <numFmt numFmtId="1" formatCode="0"/>
    </dxf>
    <dxf>
      <numFmt numFmtId="1" formatCode="0"/>
    </dxf>
    <dxf>
      <numFmt numFmtId="169" formatCode="[$-14009]dd/mm/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project1.xlsx]Sheet3!PivotTable2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Brand</a:t>
            </a:r>
            <a:r>
              <a:rPr lang="en-IN" baseline="0"/>
              <a:t> wise sales, revenue, profit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Sales_Quantity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Sheet3!$A$4:$A$12</c:f>
              <c:strCache>
                <c:ptCount val="8"/>
                <c:pt idx="0">
                  <c:v>Royal Enfield</c:v>
                </c:pt>
                <c:pt idx="1">
                  <c:v>KTM</c:v>
                </c:pt>
                <c:pt idx="2">
                  <c:v>Honda</c:v>
                </c:pt>
                <c:pt idx="3">
                  <c:v>TVS</c:v>
                </c:pt>
                <c:pt idx="4">
                  <c:v>Yamaha</c:v>
                </c:pt>
                <c:pt idx="5">
                  <c:v>Bajaj</c:v>
                </c:pt>
                <c:pt idx="6">
                  <c:v>Hero</c:v>
                </c:pt>
                <c:pt idx="7">
                  <c:v>Suzuki</c:v>
                </c:pt>
              </c:strCache>
            </c:strRef>
          </c:cat>
          <c:val>
            <c:numRef>
              <c:f>Sheet3!$B$4:$B$12</c:f>
              <c:numCache>
                <c:formatCode>General</c:formatCode>
                <c:ptCount val="8"/>
                <c:pt idx="0">
                  <c:v>36</c:v>
                </c:pt>
                <c:pt idx="1">
                  <c:v>15</c:v>
                </c:pt>
                <c:pt idx="2">
                  <c:v>26</c:v>
                </c:pt>
                <c:pt idx="3">
                  <c:v>18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80-4854-A4B4-F401EDCADB1B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Sheet3!$A$4:$A$12</c:f>
              <c:strCache>
                <c:ptCount val="8"/>
                <c:pt idx="0">
                  <c:v>Royal Enfield</c:v>
                </c:pt>
                <c:pt idx="1">
                  <c:v>KTM</c:v>
                </c:pt>
                <c:pt idx="2">
                  <c:v>Honda</c:v>
                </c:pt>
                <c:pt idx="3">
                  <c:v>TVS</c:v>
                </c:pt>
                <c:pt idx="4">
                  <c:v>Yamaha</c:v>
                </c:pt>
                <c:pt idx="5">
                  <c:v>Bajaj</c:v>
                </c:pt>
                <c:pt idx="6">
                  <c:v>Hero</c:v>
                </c:pt>
                <c:pt idx="7">
                  <c:v>Suzuki</c:v>
                </c:pt>
              </c:strCache>
            </c:strRef>
          </c:cat>
          <c:val>
            <c:numRef>
              <c:f>Sheet3!$C$4:$C$12</c:f>
              <c:numCache>
                <c:formatCode>General</c:formatCode>
                <c:ptCount val="8"/>
                <c:pt idx="0">
                  <c:v>7965000</c:v>
                </c:pt>
                <c:pt idx="1">
                  <c:v>4525000</c:v>
                </c:pt>
                <c:pt idx="2">
                  <c:v>2735000</c:v>
                </c:pt>
                <c:pt idx="3">
                  <c:v>2800000</c:v>
                </c:pt>
                <c:pt idx="4">
                  <c:v>2720000</c:v>
                </c:pt>
                <c:pt idx="5">
                  <c:v>2520000</c:v>
                </c:pt>
                <c:pt idx="6">
                  <c:v>1245000</c:v>
                </c:pt>
                <c:pt idx="7">
                  <c:v>580000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80-4854-A4B4-F401EDCADB1B}"/>
            </c:ext>
          </c:extLst>
        </c:ser>
        <c:ser>
          <c:idx val="2"/>
          <c:order val="2"/>
          <c:tx>
            <c:strRef>
              <c:f>Sheet3!$D$3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Sheet3!$A$4:$A$12</c:f>
              <c:strCache>
                <c:ptCount val="8"/>
                <c:pt idx="0">
                  <c:v>Royal Enfield</c:v>
                </c:pt>
                <c:pt idx="1">
                  <c:v>KTM</c:v>
                </c:pt>
                <c:pt idx="2">
                  <c:v>Honda</c:v>
                </c:pt>
                <c:pt idx="3">
                  <c:v>TVS</c:v>
                </c:pt>
                <c:pt idx="4">
                  <c:v>Yamaha</c:v>
                </c:pt>
                <c:pt idx="5">
                  <c:v>Bajaj</c:v>
                </c:pt>
                <c:pt idx="6">
                  <c:v>Hero</c:v>
                </c:pt>
                <c:pt idx="7">
                  <c:v>Suzuki</c:v>
                </c:pt>
              </c:strCache>
            </c:strRef>
          </c:cat>
          <c:val>
            <c:numRef>
              <c:f>Sheet3!$D$4:$D$12</c:f>
              <c:numCache>
                <c:formatCode>General</c:formatCode>
                <c:ptCount val="8"/>
                <c:pt idx="0">
                  <c:v>900000</c:v>
                </c:pt>
                <c:pt idx="1">
                  <c:v>496000</c:v>
                </c:pt>
                <c:pt idx="2">
                  <c:v>312000</c:v>
                </c:pt>
                <c:pt idx="3">
                  <c:v>305000</c:v>
                </c:pt>
                <c:pt idx="4">
                  <c:v>297000</c:v>
                </c:pt>
                <c:pt idx="5">
                  <c:v>282000</c:v>
                </c:pt>
                <c:pt idx="6">
                  <c:v>138000</c:v>
                </c:pt>
                <c:pt idx="7">
                  <c:v>64000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80-4854-A4B4-F401EDCAD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82311519"/>
        <c:axId val="1689754255"/>
        <c:axId val="0"/>
      </c:bar3DChart>
      <c:catAx>
        <c:axId val="168231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754255"/>
        <c:crosses val="autoZero"/>
        <c:auto val="1"/>
        <c:lblAlgn val="ctr"/>
        <c:lblOffset val="100"/>
        <c:noMultiLvlLbl val="0"/>
      </c:catAx>
      <c:valAx>
        <c:axId val="168975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31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project1.xlsx]Sheet4!PivotTable3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state</a:t>
            </a:r>
            <a:r>
              <a:rPr lang="en-IN" baseline="0"/>
              <a:t> wise revenue, profit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Sheet4!$A$4:$A$10</c:f>
              <c:strCache>
                <c:ptCount val="6"/>
                <c:pt idx="0">
                  <c:v>Andhra Pradesh</c:v>
                </c:pt>
                <c:pt idx="1">
                  <c:v>Telangana</c:v>
                </c:pt>
                <c:pt idx="2">
                  <c:v>Karnataka</c:v>
                </c:pt>
                <c:pt idx="3">
                  <c:v>Maharashtra</c:v>
                </c:pt>
                <c:pt idx="4">
                  <c:v>Tamil Nadu</c:v>
                </c:pt>
                <c:pt idx="5">
                  <c:v>Kerala</c:v>
                </c:pt>
              </c:strCache>
            </c:strRef>
          </c:cat>
          <c:val>
            <c:numRef>
              <c:f>Sheet4!$B$4:$B$10</c:f>
              <c:numCache>
                <c:formatCode>General</c:formatCode>
                <c:ptCount val="6"/>
                <c:pt idx="0">
                  <c:v>6905000</c:v>
                </c:pt>
                <c:pt idx="1">
                  <c:v>4605000</c:v>
                </c:pt>
                <c:pt idx="2">
                  <c:v>4240000</c:v>
                </c:pt>
                <c:pt idx="3">
                  <c:v>3635000</c:v>
                </c:pt>
                <c:pt idx="4">
                  <c:v>3315000</c:v>
                </c:pt>
                <c:pt idx="5">
                  <c:v>2390000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96-4BAD-8E0B-86DA0157DB49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Sheet4!$A$4:$A$10</c:f>
              <c:strCache>
                <c:ptCount val="6"/>
                <c:pt idx="0">
                  <c:v>Andhra Pradesh</c:v>
                </c:pt>
                <c:pt idx="1">
                  <c:v>Telangana</c:v>
                </c:pt>
                <c:pt idx="2">
                  <c:v>Karnataka</c:v>
                </c:pt>
                <c:pt idx="3">
                  <c:v>Maharashtra</c:v>
                </c:pt>
                <c:pt idx="4">
                  <c:v>Tamil Nadu</c:v>
                </c:pt>
                <c:pt idx="5">
                  <c:v>Kerala</c:v>
                </c:pt>
              </c:strCache>
            </c:strRef>
          </c:cat>
          <c:val>
            <c:numRef>
              <c:f>Sheet4!$C$4:$C$10</c:f>
              <c:numCache>
                <c:formatCode>General</c:formatCode>
                <c:ptCount val="6"/>
                <c:pt idx="0">
                  <c:v>777000</c:v>
                </c:pt>
                <c:pt idx="1">
                  <c:v>511000</c:v>
                </c:pt>
                <c:pt idx="2">
                  <c:v>471000</c:v>
                </c:pt>
                <c:pt idx="3">
                  <c:v>405000</c:v>
                </c:pt>
                <c:pt idx="4">
                  <c:v>367000</c:v>
                </c:pt>
                <c:pt idx="5">
                  <c:v>263000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96-4BAD-8E0B-86DA0157D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318479"/>
        <c:axId val="1689785455"/>
      </c:barChart>
      <c:catAx>
        <c:axId val="168231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785455"/>
        <c:crosses val="autoZero"/>
        <c:auto val="1"/>
        <c:lblAlgn val="ctr"/>
        <c:lblOffset val="100"/>
        <c:noMultiLvlLbl val="0"/>
      </c:catAx>
      <c:valAx>
        <c:axId val="168978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31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project1.xlsx]Sheet5!PivotTable4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Payment Mode-wise Sales</a:t>
            </a:r>
          </a:p>
        </c:rich>
      </c:tx>
      <c:layout>
        <c:manualLayout>
          <c:xMode val="edge"/>
          <c:yMode val="edge"/>
          <c:x val="0.32600699912510933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Sum of Sales_Quantity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Sheet5!$A$4:$A$8</c:f>
              <c:strCache>
                <c:ptCount val="4"/>
                <c:pt idx="0">
                  <c:v>Card</c:v>
                </c:pt>
                <c:pt idx="1">
                  <c:v>Cash</c:v>
                </c:pt>
                <c:pt idx="2">
                  <c:v>Finance</c:v>
                </c:pt>
                <c:pt idx="3">
                  <c:v>UPI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17</c:v>
                </c:pt>
                <c:pt idx="1">
                  <c:v>27</c:v>
                </c:pt>
                <c:pt idx="2">
                  <c:v>61</c:v>
                </c:pt>
                <c:pt idx="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F-457E-9A4B-E55DF6419D1E}"/>
            </c:ext>
          </c:extLst>
        </c:ser>
        <c:ser>
          <c:idx val="1"/>
          <c:order val="1"/>
          <c:tx>
            <c:strRef>
              <c:f>Sheet5!$C$3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Sheet5!$A$4:$A$8</c:f>
              <c:strCache>
                <c:ptCount val="4"/>
                <c:pt idx="0">
                  <c:v>Card</c:v>
                </c:pt>
                <c:pt idx="1">
                  <c:v>Cash</c:v>
                </c:pt>
                <c:pt idx="2">
                  <c:v>Finance</c:v>
                </c:pt>
                <c:pt idx="3">
                  <c:v>UPI</c:v>
                </c:pt>
              </c:strCache>
            </c:strRef>
          </c:cat>
          <c:val>
            <c:numRef>
              <c:f>Sheet5!$C$4:$C$8</c:f>
              <c:numCache>
                <c:formatCode>General</c:formatCode>
                <c:ptCount val="4"/>
                <c:pt idx="0">
                  <c:v>2885000</c:v>
                </c:pt>
                <c:pt idx="1">
                  <c:v>3360000</c:v>
                </c:pt>
                <c:pt idx="2">
                  <c:v>13980000</c:v>
                </c:pt>
                <c:pt idx="3">
                  <c:v>4865000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BF-457E-9A4B-E55DF6419D1E}"/>
            </c:ext>
          </c:extLst>
        </c:ser>
        <c:ser>
          <c:idx val="2"/>
          <c:order val="2"/>
          <c:tx>
            <c:strRef>
              <c:f>Sheet5!$D$3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Sheet5!$A$4:$A$8</c:f>
              <c:strCache>
                <c:ptCount val="4"/>
                <c:pt idx="0">
                  <c:v>Card</c:v>
                </c:pt>
                <c:pt idx="1">
                  <c:v>Cash</c:v>
                </c:pt>
                <c:pt idx="2">
                  <c:v>Finance</c:v>
                </c:pt>
                <c:pt idx="3">
                  <c:v>UPI</c:v>
                </c:pt>
              </c:strCache>
            </c:strRef>
          </c:cat>
          <c:val>
            <c:numRef>
              <c:f>Sheet5!$D$4:$D$8</c:f>
              <c:numCache>
                <c:formatCode>General</c:formatCode>
                <c:ptCount val="4"/>
                <c:pt idx="0">
                  <c:v>321000</c:v>
                </c:pt>
                <c:pt idx="1">
                  <c:v>378000</c:v>
                </c:pt>
                <c:pt idx="2">
                  <c:v>1561000</c:v>
                </c:pt>
                <c:pt idx="3">
                  <c:v>534000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BF-457E-9A4B-E55DF6419D1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82991343"/>
        <c:axId val="1689716335"/>
      </c:barChart>
      <c:catAx>
        <c:axId val="1682991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716335"/>
        <c:crosses val="autoZero"/>
        <c:auto val="1"/>
        <c:lblAlgn val="ctr"/>
        <c:lblOffset val="100"/>
        <c:noMultiLvlLbl val="0"/>
      </c:catAx>
      <c:valAx>
        <c:axId val="1689716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9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83820</xdr:colOff>
      <xdr:row>0</xdr:row>
      <xdr:rowOff>182880</xdr:rowOff>
    </xdr:from>
    <xdr:to>
      <xdr:col>10</xdr:col>
      <xdr:colOff>388620</xdr:colOff>
      <xdr:row>14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D82D39-8876-4A4A-AE28-C5CD20A139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556260</xdr:colOff>
      <xdr:row>0</xdr:row>
      <xdr:rowOff>152400</xdr:rowOff>
    </xdr:from>
    <xdr:to>
      <xdr:col>18</xdr:col>
      <xdr:colOff>251460</xdr:colOff>
      <xdr:row>14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B35531-B3BE-4E03-B42B-8CE992EF05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320040</xdr:colOff>
      <xdr:row>14</xdr:row>
      <xdr:rowOff>175260</xdr:rowOff>
    </xdr:from>
    <xdr:to>
      <xdr:col>11</xdr:col>
      <xdr:colOff>68580</xdr:colOff>
      <xdr:row>30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DDF42D-AEC2-4DE6-A7CF-F4B49F4F25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ire" refreshedDate="46248.967409027777" backgroundQuery="1" createdVersion="8" refreshedVersion="8" minRefreshableVersion="3" recordCount="0" supportSubquery="1" supportAdvancedDrill="1" xr:uid="{E1ABC93E-2998-43B8-8FB0-D7EFF629C632}">
  <cacheSource type="external" connectionId="1"/>
  <cacheFields count="4">
    <cacheField name="[Table1].[Brand].[Brand]" caption="Brand" numFmtId="0" hierarchy="9" level="1">
      <sharedItems count="8">
        <s v="Bajaj"/>
        <s v="Hero"/>
        <s v="Honda"/>
        <s v="KTM"/>
        <s v="Royal Enfield"/>
        <s v="Suzuki"/>
        <s v="TVS"/>
        <s v="Yamaha"/>
      </sharedItems>
    </cacheField>
    <cacheField name="[Measures].[Sum of Sales_Quantity]" caption="Sum of Sales_Quantity" numFmtId="0" hierarchy="24" level="32767"/>
    <cacheField name="[Measures].[Sum of Revenue]" caption="Sum of Revenue" numFmtId="0" hierarchy="25" level="32767"/>
    <cacheField name="[Measures].[Sum of Profit]" caption="Sum of Profit" numFmtId="0" hierarchy="26" level="32767"/>
  </cacheFields>
  <cacheHierarchies count="27">
    <cacheHierarchy uniqueName="[Range].[Total Revenue]" caption="Total Revenue" attribute="1" defaultMemberUniqueName="[Range].[Total Revenue].[All]" allUniqueName="[Range].[Total Revenue].[All]" dimensionUniqueName="[Range]" displayFolder="" count="0" memberValueDatatype="20" unbalanced="0"/>
    <cacheHierarchy uniqueName="[Range].[Total Profit]" caption="Total Profit" attribute="1" defaultMemberUniqueName="[Range].[Total Profit].[All]" allUniqueName="[Range].[Total Profit].[All]" dimensionUniqueName="[Range]" displayFolder="" count="0" memberValueDatatype="20" unbalanced="0"/>
    <cacheHierarchy uniqueName="[Range].[Total units sold]" caption="Total units sold" attribute="1" defaultMemberUniqueName="[Range].[Total units sold].[All]" allUniqueName="[Range].[Total units sold].[All]" dimensionUniqueName="[Range]" displayFolder="" count="0" memberValueDatatype="20" unbalanced="0"/>
    <cacheHierarchy uniqueName="[Range].[Average Bike price]" caption="Average Bike price" attribute="1" defaultMemberUniqueName="[Range].[Average Bike price].[All]" allUniqueName="[Range].[Average Bike price].[All]" dimensionUniqueName="[Range]" displayFolder="" count="0" memberValueDatatype="20" unbalanced="0"/>
    <cacheHierarchy uniqueName="[Range].[Average coustumer rating]" caption="Average coustumer rating" attribute="1" defaultMemberUniqueName="[Range].[Average coustumer rating].[All]" allUniqueName="[Range].[Average coustumer rating].[All]" dimensionUniqueName="[Range]" displayFolder="" count="0" memberValueDatatype="5" unbalanced="0"/>
    <cacheHierarchy uniqueName="[Table1].[Customer_ID       Purchase_Date  State  City  Brand | Model | Engine_CC | Mileage | Price | Customer]" caption="Customer_ID       Purchase_Date  State  City  Brand | Model | Engine_CC | Mileage | Price | Customer" attribute="1" defaultMemberUniqueName="[Table1].[Customer_ID       Purchase_Date  State  City  Brand | Model | Engine_CC | Mileage | Price | Customer].[All]" allUniqueName="[Table1].[Customer_ID       Purchase_Date  State  City  Brand | Model | Engine_CC | Mileage | Price | Customer].[All]" dimensionUniqueName="[Table1]" displayFolder="" count="0" memberValueDatatype="130" unbalanced="0"/>
    <cacheHierarchy uniqueName="[Table1].[Purchase_Date]" caption="Purchase_Date" attribute="1" time="1" defaultMemberUniqueName="[Table1].[Purchase_Date].[All]" allUniqueName="[Table1].[Purchase_Date].[All]" dimensionUniqueName="[Table1]" displayFolder="" count="0" memberValueDatatype="7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Brand]" caption="Brand" attribute="1" defaultMemberUniqueName="[Table1].[Brand].[All]" allUniqueName="[Table1].[Brand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Model]" caption="Model" attribute="1" defaultMemberUniqueName="[Table1].[Model].[All]" allUniqueName="[Table1].[Model].[All]" dimensionUniqueName="[Table1]" displayFolder="" count="0" memberValueDatatype="130" unbalanced="0"/>
    <cacheHierarchy uniqueName="[Table1].[Engine_CC]" caption="Engine_CC" attribute="1" defaultMemberUniqueName="[Table1].[Engine_CC].[All]" allUniqueName="[Table1].[Engine_CC].[All]" dimensionUniqueName="[Table1]" displayFolder="" count="0" memberValueDatatype="20" unbalanced="0"/>
    <cacheHierarchy uniqueName="[Table1].[Mileage]" caption="Mileage" attribute="1" defaultMemberUniqueName="[Table1].[Mileage].[All]" allUniqueName="[Table1].[Mileage].[All]" dimensionUniqueName="[Table1]" displayFolder="" count="0" memberValueDatatype="20" unbalanced="0"/>
    <cacheHierarchy uniqueName="[Table1].[Price]" caption="Price" attribute="1" defaultMemberUniqueName="[Table1].[Price].[All]" allUniqueName="[Table1].[Price].[All]" dimensionUniqueName="[Table1]" displayFolder="" count="0" memberValueDatatype="20" unbalanced="0"/>
    <cacheHierarchy uniqueName="[Table1].[Customer_Age]" caption="Customer_Age" attribute="1" defaultMemberUniqueName="[Table1].[Customer_Age].[All]" allUniqueName="[Table1].[Customer_Age].[All]" dimensionUniqueName="[Table1]" displayFolder="" count="0" memberValueDatatype="20" unbalanced="0"/>
    <cacheHierarchy uniqueName="[Table1].[Occupation]" caption="Occupation" attribute="1" defaultMemberUniqueName="[Table1].[Occupation].[All]" allUniqueName="[Table1].[Occupation].[All]" dimensionUniqueName="[Table1]" displayFolder="" count="0" memberValueDatatype="130" unbalanced="0"/>
    <cacheHierarchy uniqueName="[Table1].[Payment_Mode]" caption="Payment_Mode" attribute="1" defaultMemberUniqueName="[Table1].[Payment_Mode].[All]" allUniqueName="[Table1].[Payment_Mode].[All]" dimensionUniqueName="[Table1]" displayFolder="" count="0" memberValueDatatype="130" unbalanced="0"/>
    <cacheHierarchy uniqueName="[Table1].[Customer_Rating]" caption="Customer_Rating" attribute="1" defaultMemberUniqueName="[Table1].[Customer_Rating].[All]" allUniqueName="[Table1].[Customer_Rating].[All]" dimensionUniqueName="[Table1]" displayFolder="" count="0" memberValueDatatype="5" unbalanced="0"/>
    <cacheHierarchy uniqueName="[Table1].[Sales_Quantity]" caption="Sales_Quantity" attribute="1" defaultMemberUniqueName="[Table1].[Sales_Quantity].[All]" allUniqueName="[Table1].[Sales_Quantity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Table1].[Revenue]" caption="Revenue" attribute="1" defaultMemberUniqueName="[Table1].[Revenue].[All]" allUniqueName="[Table1].[Revenue].[All]" dimensionUniqueName="[Table1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_Quantity]" caption="Sum of Sales_Quantity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venue]" caption="Sum of Revenue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ire" refreshedDate="46248.971262847219" backgroundQuery="1" createdVersion="8" refreshedVersion="8" minRefreshableVersion="3" recordCount="0" supportSubquery="1" supportAdvancedDrill="1" xr:uid="{B78ACD6A-9C20-44A9-9B55-2F03BEA4AD8F}">
  <cacheSource type="external" connectionId="1"/>
  <cacheFields count="3">
    <cacheField name="[Table1].[State].[State]" caption="State" numFmtId="0" hierarchy="7" level="1">
      <sharedItems count="6">
        <s v="Andhra Pradesh"/>
        <s v="Karnataka"/>
        <s v="Kerala"/>
        <s v="Maharashtra"/>
        <s v="Tamil Nadu"/>
        <s v="Telangana"/>
      </sharedItems>
    </cacheField>
    <cacheField name="[Measures].[Sum of Revenue]" caption="Sum of Revenue" numFmtId="0" hierarchy="25" level="32767"/>
    <cacheField name="[Measures].[Sum of Profit]" caption="Sum of Profit" numFmtId="0" hierarchy="26" level="32767"/>
  </cacheFields>
  <cacheHierarchies count="27">
    <cacheHierarchy uniqueName="[Range].[Total Revenue]" caption="Total Revenue" attribute="1" defaultMemberUniqueName="[Range].[Total Revenue].[All]" allUniqueName="[Range].[Total Revenue].[All]" dimensionUniqueName="[Range]" displayFolder="" count="0" memberValueDatatype="20" unbalanced="0"/>
    <cacheHierarchy uniqueName="[Range].[Total Profit]" caption="Total Profit" attribute="1" defaultMemberUniqueName="[Range].[Total Profit].[All]" allUniqueName="[Range].[Total Profit].[All]" dimensionUniqueName="[Range]" displayFolder="" count="0" memberValueDatatype="20" unbalanced="0"/>
    <cacheHierarchy uniqueName="[Range].[Total units sold]" caption="Total units sold" attribute="1" defaultMemberUniqueName="[Range].[Total units sold].[All]" allUniqueName="[Range].[Total units sold].[All]" dimensionUniqueName="[Range]" displayFolder="" count="0" memberValueDatatype="20" unbalanced="0"/>
    <cacheHierarchy uniqueName="[Range].[Average Bike price]" caption="Average Bike price" attribute="1" defaultMemberUniqueName="[Range].[Average Bike price].[All]" allUniqueName="[Range].[Average Bike price].[All]" dimensionUniqueName="[Range]" displayFolder="" count="0" memberValueDatatype="20" unbalanced="0"/>
    <cacheHierarchy uniqueName="[Range].[Average coustumer rating]" caption="Average coustumer rating" attribute="1" defaultMemberUniqueName="[Range].[Average coustumer rating].[All]" allUniqueName="[Range].[Average coustumer rating].[All]" dimensionUniqueName="[Range]" displayFolder="" count="0" memberValueDatatype="5" unbalanced="0"/>
    <cacheHierarchy uniqueName="[Table1].[Customer_ID       Purchase_Date  State  City  Brand | Model | Engine_CC | Mileage | Price | Customer]" caption="Customer_ID       Purchase_Date  State  City  Brand | Model | Engine_CC | Mileage | Price | Customer" attribute="1" defaultMemberUniqueName="[Table1].[Customer_ID       Purchase_Date  State  City  Brand | Model | Engine_CC | Mileage | Price | Customer].[All]" allUniqueName="[Table1].[Customer_ID       Purchase_Date  State  City  Brand | Model | Engine_CC | Mileage | Price | Customer].[All]" dimensionUniqueName="[Table1]" displayFolder="" count="0" memberValueDatatype="130" unbalanced="0"/>
    <cacheHierarchy uniqueName="[Table1].[Purchase_Date]" caption="Purchase_Date" attribute="1" time="1" defaultMemberUniqueName="[Table1].[Purchase_Date].[All]" allUniqueName="[Table1].[Purchase_Date].[All]" dimensionUniqueName="[Table1]" displayFolder="" count="0" memberValueDatatype="7" unbalanced="0"/>
    <cacheHierarchy uniqueName="[Table1].[State]" caption="State" attribute="1" defaultMemberUniqueName="[Table1].[State].[All]" allUniqueName="[Table1].[Stat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Brand]" caption="Brand" attribute="1" defaultMemberUniqueName="[Table1].[Brand].[All]" allUniqueName="[Table1].[Brand].[All]" dimensionUniqueName="[Table1]" displayFolder="" count="0" memberValueDatatype="130" unbalanced="0"/>
    <cacheHierarchy uniqueName="[Table1].[Model]" caption="Model" attribute="1" defaultMemberUniqueName="[Table1].[Model].[All]" allUniqueName="[Table1].[Model].[All]" dimensionUniqueName="[Table1]" displayFolder="" count="0" memberValueDatatype="130" unbalanced="0"/>
    <cacheHierarchy uniqueName="[Table1].[Engine_CC]" caption="Engine_CC" attribute="1" defaultMemberUniqueName="[Table1].[Engine_CC].[All]" allUniqueName="[Table1].[Engine_CC].[All]" dimensionUniqueName="[Table1]" displayFolder="" count="0" memberValueDatatype="20" unbalanced="0"/>
    <cacheHierarchy uniqueName="[Table1].[Mileage]" caption="Mileage" attribute="1" defaultMemberUniqueName="[Table1].[Mileage].[All]" allUniqueName="[Table1].[Mileage].[All]" dimensionUniqueName="[Table1]" displayFolder="" count="0" memberValueDatatype="20" unbalanced="0"/>
    <cacheHierarchy uniqueName="[Table1].[Price]" caption="Price" attribute="1" defaultMemberUniqueName="[Table1].[Price].[All]" allUniqueName="[Table1].[Price].[All]" dimensionUniqueName="[Table1]" displayFolder="" count="0" memberValueDatatype="20" unbalanced="0"/>
    <cacheHierarchy uniqueName="[Table1].[Customer_Age]" caption="Customer_Age" attribute="1" defaultMemberUniqueName="[Table1].[Customer_Age].[All]" allUniqueName="[Table1].[Customer_Age].[All]" dimensionUniqueName="[Table1]" displayFolder="" count="0" memberValueDatatype="20" unbalanced="0"/>
    <cacheHierarchy uniqueName="[Table1].[Occupation]" caption="Occupation" attribute="1" defaultMemberUniqueName="[Table1].[Occupation].[All]" allUniqueName="[Table1].[Occupation].[All]" dimensionUniqueName="[Table1]" displayFolder="" count="0" memberValueDatatype="130" unbalanced="0"/>
    <cacheHierarchy uniqueName="[Table1].[Payment_Mode]" caption="Payment_Mode" attribute="1" defaultMemberUniqueName="[Table1].[Payment_Mode].[All]" allUniqueName="[Table1].[Payment_Mode].[All]" dimensionUniqueName="[Table1]" displayFolder="" count="0" memberValueDatatype="130" unbalanced="0"/>
    <cacheHierarchy uniqueName="[Table1].[Customer_Rating]" caption="Customer_Rating" attribute="1" defaultMemberUniqueName="[Table1].[Customer_Rating].[All]" allUniqueName="[Table1].[Customer_Rating].[All]" dimensionUniqueName="[Table1]" displayFolder="" count="0" memberValueDatatype="5" unbalanced="0"/>
    <cacheHierarchy uniqueName="[Table1].[Sales_Quantity]" caption="Sales_Quantity" attribute="1" defaultMemberUniqueName="[Table1].[Sales_Quantity].[All]" allUniqueName="[Table1].[Sales_Quantity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Table1].[Revenue]" caption="Revenue" attribute="1" defaultMemberUniqueName="[Table1].[Revenue].[All]" allUniqueName="[Table1].[Revenue].[All]" dimensionUniqueName="[Table1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_Quantity]" caption="Sum of Sales_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venue]" caption="Sum of Revenue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ire" refreshedDate="46248.973961689815" backgroundQuery="1" createdVersion="8" refreshedVersion="8" minRefreshableVersion="3" recordCount="0" supportSubquery="1" supportAdvancedDrill="1" xr:uid="{86814AC9-495A-424D-B34B-A39225134D29}">
  <cacheSource type="external" connectionId="1"/>
  <cacheFields count="4">
    <cacheField name="[Measures].[Sum of Sales_Quantity]" caption="Sum of Sales_Quantity" numFmtId="0" hierarchy="24" level="32767"/>
    <cacheField name="[Measures].[Sum of Revenue]" caption="Sum of Revenue" numFmtId="0" hierarchy="25" level="32767"/>
    <cacheField name="[Measures].[Sum of Profit]" caption="Sum of Profit" numFmtId="0" hierarchy="26" level="32767"/>
    <cacheField name="[Table1].[Payment_Mode].[Payment_Mode]" caption="Payment_Mode" numFmtId="0" hierarchy="16" level="1">
      <sharedItems count="4">
        <s v="Card"/>
        <s v="Cash"/>
        <s v="Finance"/>
        <s v="UPI"/>
      </sharedItems>
    </cacheField>
  </cacheFields>
  <cacheHierarchies count="27">
    <cacheHierarchy uniqueName="[Range].[Total Revenue]" caption="Total Revenue" attribute="1" defaultMemberUniqueName="[Range].[Total Revenue].[All]" allUniqueName="[Range].[Total Revenue].[All]" dimensionUniqueName="[Range]" displayFolder="" count="0" memberValueDatatype="20" unbalanced="0"/>
    <cacheHierarchy uniqueName="[Range].[Total Profit]" caption="Total Profit" attribute="1" defaultMemberUniqueName="[Range].[Total Profit].[All]" allUniqueName="[Range].[Total Profit].[All]" dimensionUniqueName="[Range]" displayFolder="" count="0" memberValueDatatype="20" unbalanced="0"/>
    <cacheHierarchy uniqueName="[Range].[Total units sold]" caption="Total units sold" attribute="1" defaultMemberUniqueName="[Range].[Total units sold].[All]" allUniqueName="[Range].[Total units sold].[All]" dimensionUniqueName="[Range]" displayFolder="" count="0" memberValueDatatype="20" unbalanced="0"/>
    <cacheHierarchy uniqueName="[Range].[Average Bike price]" caption="Average Bike price" attribute="1" defaultMemberUniqueName="[Range].[Average Bike price].[All]" allUniqueName="[Range].[Average Bike price].[All]" dimensionUniqueName="[Range]" displayFolder="" count="0" memberValueDatatype="20" unbalanced="0"/>
    <cacheHierarchy uniqueName="[Range].[Average coustumer rating]" caption="Average coustumer rating" attribute="1" defaultMemberUniqueName="[Range].[Average coustumer rating].[All]" allUniqueName="[Range].[Average coustumer rating].[All]" dimensionUniqueName="[Range]" displayFolder="" count="0" memberValueDatatype="5" unbalanced="0"/>
    <cacheHierarchy uniqueName="[Table1].[Customer_ID       Purchase_Date  State  City  Brand | Model | Engine_CC | Mileage | Price | Customer]" caption="Customer_ID       Purchase_Date  State  City  Brand | Model | Engine_CC | Mileage | Price | Customer" attribute="1" defaultMemberUniqueName="[Table1].[Customer_ID       Purchase_Date  State  City  Brand | Model | Engine_CC | Mileage | Price | Customer].[All]" allUniqueName="[Table1].[Customer_ID       Purchase_Date  State  City  Brand | Model | Engine_CC | Mileage | Price | Customer].[All]" dimensionUniqueName="[Table1]" displayFolder="" count="0" memberValueDatatype="130" unbalanced="0"/>
    <cacheHierarchy uniqueName="[Table1].[Purchase_Date]" caption="Purchase_Date" attribute="1" time="1" defaultMemberUniqueName="[Table1].[Purchase_Date].[All]" allUniqueName="[Table1].[Purchase_Date].[All]" dimensionUniqueName="[Table1]" displayFolder="" count="0" memberValueDatatype="7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Brand]" caption="Brand" attribute="1" defaultMemberUniqueName="[Table1].[Brand].[All]" allUniqueName="[Table1].[Brand].[All]" dimensionUniqueName="[Table1]" displayFolder="" count="0" memberValueDatatype="130" unbalanced="0"/>
    <cacheHierarchy uniqueName="[Table1].[Model]" caption="Model" attribute="1" defaultMemberUniqueName="[Table1].[Model].[All]" allUniqueName="[Table1].[Model].[All]" dimensionUniqueName="[Table1]" displayFolder="" count="2" memberValueDatatype="130" unbalanced="0"/>
    <cacheHierarchy uniqueName="[Table1].[Engine_CC]" caption="Engine_CC" attribute="1" defaultMemberUniqueName="[Table1].[Engine_CC].[All]" allUniqueName="[Table1].[Engine_CC].[All]" dimensionUniqueName="[Table1]" displayFolder="" count="0" memberValueDatatype="20" unbalanced="0"/>
    <cacheHierarchy uniqueName="[Table1].[Mileage]" caption="Mileage" attribute="1" defaultMemberUniqueName="[Table1].[Mileage].[All]" allUniqueName="[Table1].[Mileage].[All]" dimensionUniqueName="[Table1]" displayFolder="" count="0" memberValueDatatype="20" unbalanced="0"/>
    <cacheHierarchy uniqueName="[Table1].[Price]" caption="Price" attribute="1" defaultMemberUniqueName="[Table1].[Price].[All]" allUniqueName="[Table1].[Price].[All]" dimensionUniqueName="[Table1]" displayFolder="" count="0" memberValueDatatype="20" unbalanced="0"/>
    <cacheHierarchy uniqueName="[Table1].[Customer_Age]" caption="Customer_Age" attribute="1" defaultMemberUniqueName="[Table1].[Customer_Age].[All]" allUniqueName="[Table1].[Customer_Age].[All]" dimensionUniqueName="[Table1]" displayFolder="" count="0" memberValueDatatype="20" unbalanced="0"/>
    <cacheHierarchy uniqueName="[Table1].[Occupation]" caption="Occupation" attribute="1" defaultMemberUniqueName="[Table1].[Occupation].[All]" allUniqueName="[Table1].[Occupation].[All]" dimensionUniqueName="[Table1]" displayFolder="" count="0" memberValueDatatype="130" unbalanced="0"/>
    <cacheHierarchy uniqueName="[Table1].[Payment_Mode]" caption="Payment_Mode" attribute="1" defaultMemberUniqueName="[Table1].[Payment_Mode].[All]" allUniqueName="[Table1].[Payment_Mode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Customer_Rating]" caption="Customer_Rating" attribute="1" defaultMemberUniqueName="[Table1].[Customer_Rating].[All]" allUniqueName="[Table1].[Customer_Rating].[All]" dimensionUniqueName="[Table1]" displayFolder="" count="0" memberValueDatatype="5" unbalanced="0"/>
    <cacheHierarchy uniqueName="[Table1].[Sales_Quantity]" caption="Sales_Quantity" attribute="1" defaultMemberUniqueName="[Table1].[Sales_Quantity].[All]" allUniqueName="[Table1].[Sales_Quantity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Table1].[Revenue]" caption="Revenue" attribute="1" defaultMemberUniqueName="[Table1].[Revenue].[All]" allUniqueName="[Table1].[Revenue].[All]" dimensionUniqueName="[Table1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_Quantity]" caption="Sum of Sales_Quantity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Revenue]" caption="Sum of Revenue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able1" uniqueName="[Table1]" caption="Table1"/>
  </dimensions>
  <measureGroups count="2">
    <measureGroup name="Range" caption="Range"/>
    <measureGroup name="Table1" caption="Table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C2E46E-21B2-4ED9-9491-34297309E339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12" firstHeaderRow="0" firstDataRow="1" firstDataCol="1"/>
  <pivotFields count="4">
    <pivotField axis="axisRow" allDrilled="1" subtotalTop="0" showAll="0" sortType="de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9">
    <i>
      <x v="4"/>
    </i>
    <i>
      <x v="3"/>
    </i>
    <i>
      <x v="2"/>
    </i>
    <i>
      <x v="6"/>
    </i>
    <i>
      <x v="7"/>
    </i>
    <i>
      <x/>
    </i>
    <i>
      <x v="1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_Quantity" fld="1" baseField="0" baseItem="0"/>
    <dataField name="Sum of Revenue" fld="2" baseField="0" baseItem="0"/>
    <dataField name="Sum of Profit" fld="3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B85EE7-0190-46DF-9415-361052721D5C}" name="PivotTable3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10" firstHeaderRow="0" firstDataRow="1" firstDataCol="1"/>
  <pivotFields count="3"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5"/>
    </i>
    <i>
      <x v="1"/>
    </i>
    <i>
      <x v="3"/>
    </i>
    <i>
      <x v="4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" baseField="0" baseItem="0"/>
    <dataField name="Sum of Profit" fld="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1EEB84-AD25-4A0F-AFB1-24928A6C5BCA}" name="PivotTable4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D8" firstHeaderRow="0" firstDataRow="1" firstDataCol="1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_Quantity" fld="0" baseField="0" baseItem="0"/>
    <dataField name="Sum of Revenue" fld="1" baseField="0" baseItem="0"/>
    <dataField name="Sum of Profit" fld="2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6EC950-1AF6-4E9A-AD56-EAAD277A36A1}" name="Table1" displayName="Table1" ref="A1:P121" totalsRowShown="0" headerRowDxfId="4">
  <autoFilter ref="A1:P121" xr:uid="{AA6EC950-1AF6-4E9A-AD56-EAAD277A36A1}"/>
  <sortState xmlns:xlrd2="http://schemas.microsoft.com/office/spreadsheetml/2017/richdata2" ref="A2:O121">
    <sortCondition ref="A1:A121"/>
  </sortState>
  <tableColumns count="16">
    <tableColumn id="1" xr3:uid="{C3E39E12-26F1-4FDA-A093-4F449FC72924}" name="Customer_ID       Purchase_Date  State  City  Brand | Model | Engine_CC | Mileage | Price | Customer_Age | Occupation | Payment_Mode | Customer_Rating | Sales_Quantity | Profit"/>
    <tableColumn id="2" xr3:uid="{87BDB0A4-83A3-44FB-904E-A4961BBC4807}" name="Purchase_Date" dataDxfId="3"/>
    <tableColumn id="3" xr3:uid="{0CD0D57B-21EE-4EF1-B1C4-949AECB962C4}" name="State"/>
    <tableColumn id="4" xr3:uid="{4AD98970-EDFB-4500-B375-9993D115817A}" name="City"/>
    <tableColumn id="5" xr3:uid="{9AD1CC95-663A-4651-8BBF-16C3E73CA931}" name="Brand"/>
    <tableColumn id="6" xr3:uid="{F3483C82-31AF-428D-9343-6766DA29763A}" name="Model"/>
    <tableColumn id="7" xr3:uid="{94FA8966-AB68-40D4-8EF7-D89819ADB0E5}" name="Engine_CC"/>
    <tableColumn id="8" xr3:uid="{7F5BF190-A783-4D04-9361-F6E1B8D4F57A}" name="Mileage"/>
    <tableColumn id="9" xr3:uid="{5A78F729-C5CF-453D-AE80-CE1366BF7DD0}" name="Price" dataDxfId="2"/>
    <tableColumn id="10" xr3:uid="{B7CBEB84-77B7-4AF6-A7A3-3BC42B00DA15}" name="Customer_Age"/>
    <tableColumn id="11" xr3:uid="{8F848D49-2032-4F87-8C87-88FADEADE728}" name="Occupation"/>
    <tableColumn id="12" xr3:uid="{4504CB49-E99E-4A25-A79F-F5BB776B8072}" name="Payment_Mode"/>
    <tableColumn id="13" xr3:uid="{C253ED3C-9EDE-4F7F-A50B-A80A9DDD8261}" name="Customer_Rating"/>
    <tableColumn id="14" xr3:uid="{F4CDB816-1E90-46A8-85B7-FB152671C5CD}" name="Sales_Quantity"/>
    <tableColumn id="15" xr3:uid="{2F0E8DBE-F27D-410F-BC00-D7AED9F5965D}" name="Profit" dataDxfId="1"/>
    <tableColumn id="16" xr3:uid="{9A02698F-1E94-4109-9A2E-53F93D9BE6CB}" name="Revenue" dataDxfId="0">
      <calculatedColumnFormula>Table1[[#This Row],[Price]]*Table1[[#This Row],[Sales_Quantity]]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5684C-3080-43C0-BC1D-CCCB59D6B32A}">
  <dimension ref="A3:D12"/>
  <sheetViews>
    <sheetView workbookViewId="0">
      <selection activeCell="N3" sqref="N3"/>
    </sheetView>
  </sheetViews>
  <sheetFormatPr defaultRowHeight="14.4" x14ac:dyDescent="0.3"/>
  <cols>
    <col min="1" max="1" width="12.5546875" bestFit="1" customWidth="1"/>
    <col min="2" max="2" width="20.21875" bestFit="1" customWidth="1"/>
    <col min="3" max="3" width="14.88671875" bestFit="1" customWidth="1"/>
    <col min="4" max="4" width="12.109375" bestFit="1" customWidth="1"/>
  </cols>
  <sheetData>
    <row r="3" spans="1:4" x14ac:dyDescent="0.3">
      <c r="A3" s="7" t="s">
        <v>212</v>
      </c>
      <c r="B3" t="s">
        <v>214</v>
      </c>
      <c r="C3" t="s">
        <v>215</v>
      </c>
      <c r="D3" t="s">
        <v>216</v>
      </c>
    </row>
    <row r="4" spans="1:4" x14ac:dyDescent="0.3">
      <c r="A4" s="8" t="s">
        <v>18</v>
      </c>
      <c r="B4" s="9">
        <v>36</v>
      </c>
      <c r="C4" s="9">
        <v>7965000</v>
      </c>
      <c r="D4" s="9">
        <v>900000</v>
      </c>
    </row>
    <row r="5" spans="1:4" x14ac:dyDescent="0.3">
      <c r="A5" s="8" t="s">
        <v>32</v>
      </c>
      <c r="B5" s="9">
        <v>15</v>
      </c>
      <c r="C5" s="9">
        <v>4525000</v>
      </c>
      <c r="D5" s="9">
        <v>496000</v>
      </c>
    </row>
    <row r="6" spans="1:4" x14ac:dyDescent="0.3">
      <c r="A6" s="8" t="s">
        <v>38</v>
      </c>
      <c r="B6" s="9">
        <v>26</v>
      </c>
      <c r="C6" s="9">
        <v>2735000</v>
      </c>
      <c r="D6" s="9">
        <v>312000</v>
      </c>
    </row>
    <row r="7" spans="1:4" x14ac:dyDescent="0.3">
      <c r="A7" s="8" t="s">
        <v>54</v>
      </c>
      <c r="B7" s="9">
        <v>18</v>
      </c>
      <c r="C7" s="9">
        <v>2800000</v>
      </c>
      <c r="D7" s="9">
        <v>305000</v>
      </c>
    </row>
    <row r="8" spans="1:4" x14ac:dyDescent="0.3">
      <c r="A8" s="8" t="s">
        <v>25</v>
      </c>
      <c r="B8" s="9">
        <v>16</v>
      </c>
      <c r="C8" s="9">
        <v>2720000</v>
      </c>
      <c r="D8" s="9">
        <v>297000</v>
      </c>
    </row>
    <row r="9" spans="1:4" x14ac:dyDescent="0.3">
      <c r="A9" s="8" t="s">
        <v>45</v>
      </c>
      <c r="B9" s="9">
        <v>16</v>
      </c>
      <c r="C9" s="9">
        <v>2520000</v>
      </c>
      <c r="D9" s="9">
        <v>282000</v>
      </c>
    </row>
    <row r="10" spans="1:4" x14ac:dyDescent="0.3">
      <c r="A10" s="8" t="s">
        <v>59</v>
      </c>
      <c r="B10" s="9">
        <v>9</v>
      </c>
      <c r="C10" s="9">
        <v>1245000</v>
      </c>
      <c r="D10" s="9">
        <v>138000</v>
      </c>
    </row>
    <row r="11" spans="1:4" x14ac:dyDescent="0.3">
      <c r="A11" s="8" t="s">
        <v>64</v>
      </c>
      <c r="B11" s="9">
        <v>4</v>
      </c>
      <c r="C11" s="9">
        <v>580000</v>
      </c>
      <c r="D11" s="9">
        <v>64000</v>
      </c>
    </row>
    <row r="12" spans="1:4" x14ac:dyDescent="0.3">
      <c r="A12" s="8" t="s">
        <v>213</v>
      </c>
      <c r="B12" s="9">
        <v>140</v>
      </c>
      <c r="C12" s="9">
        <v>25090000</v>
      </c>
      <c r="D12" s="9">
        <v>2794000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6CA5D-18F7-44AA-AF68-E64AA8D4A5E8}">
  <dimension ref="A3:C10"/>
  <sheetViews>
    <sheetView workbookViewId="0">
      <selection activeCell="A3" sqref="A3:C10"/>
    </sheetView>
  </sheetViews>
  <sheetFormatPr defaultRowHeight="14.4" x14ac:dyDescent="0.3"/>
  <cols>
    <col min="1" max="1" width="13.77734375" bestFit="1" customWidth="1"/>
    <col min="2" max="2" width="14.88671875" bestFit="1" customWidth="1"/>
    <col min="3" max="3" width="12.109375" bestFit="1" customWidth="1"/>
  </cols>
  <sheetData>
    <row r="3" spans="1:3" x14ac:dyDescent="0.3">
      <c r="A3" s="7" t="s">
        <v>212</v>
      </c>
      <c r="B3" t="s">
        <v>215</v>
      </c>
      <c r="C3" t="s">
        <v>216</v>
      </c>
    </row>
    <row r="4" spans="1:3" x14ac:dyDescent="0.3">
      <c r="A4" s="8" t="s">
        <v>16</v>
      </c>
      <c r="B4" s="9">
        <v>6905000</v>
      </c>
      <c r="C4" s="9">
        <v>777000</v>
      </c>
    </row>
    <row r="5" spans="1:3" x14ac:dyDescent="0.3">
      <c r="A5" s="8" t="s">
        <v>23</v>
      </c>
      <c r="B5" s="9">
        <v>4605000</v>
      </c>
      <c r="C5" s="9">
        <v>511000</v>
      </c>
    </row>
    <row r="6" spans="1:3" x14ac:dyDescent="0.3">
      <c r="A6" s="8" t="s">
        <v>30</v>
      </c>
      <c r="B6" s="9">
        <v>4240000</v>
      </c>
      <c r="C6" s="9">
        <v>471000</v>
      </c>
    </row>
    <row r="7" spans="1:3" x14ac:dyDescent="0.3">
      <c r="A7" s="8" t="s">
        <v>43</v>
      </c>
      <c r="B7" s="9">
        <v>3635000</v>
      </c>
      <c r="C7" s="9">
        <v>405000</v>
      </c>
    </row>
    <row r="8" spans="1:3" x14ac:dyDescent="0.3">
      <c r="A8" s="8" t="s">
        <v>36</v>
      </c>
      <c r="B8" s="9">
        <v>3315000</v>
      </c>
      <c r="C8" s="9">
        <v>367000</v>
      </c>
    </row>
    <row r="9" spans="1:3" x14ac:dyDescent="0.3">
      <c r="A9" s="8" t="s">
        <v>57</v>
      </c>
      <c r="B9" s="9">
        <v>2390000</v>
      </c>
      <c r="C9" s="9">
        <v>263000</v>
      </c>
    </row>
    <row r="10" spans="1:3" x14ac:dyDescent="0.3">
      <c r="A10" s="8" t="s">
        <v>213</v>
      </c>
      <c r="B10" s="9">
        <v>25090000</v>
      </c>
      <c r="C10" s="9">
        <v>2794000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5E547-3CB8-40F7-91D3-EBD25C08EEDB}">
  <dimension ref="A3:D8"/>
  <sheetViews>
    <sheetView topLeftCell="A4" workbookViewId="0">
      <selection activeCell="L28" sqref="L28"/>
    </sheetView>
  </sheetViews>
  <sheetFormatPr defaultRowHeight="14.4" x14ac:dyDescent="0.3"/>
  <cols>
    <col min="1" max="1" width="12.5546875" bestFit="1" customWidth="1"/>
    <col min="2" max="2" width="20.21875" bestFit="1" customWidth="1"/>
    <col min="3" max="3" width="14.88671875" bestFit="1" customWidth="1"/>
    <col min="4" max="4" width="12.109375" bestFit="1" customWidth="1"/>
  </cols>
  <sheetData>
    <row r="3" spans="1:4" x14ac:dyDescent="0.3">
      <c r="A3" s="7" t="s">
        <v>212</v>
      </c>
      <c r="B3" t="s">
        <v>214</v>
      </c>
      <c r="C3" t="s">
        <v>215</v>
      </c>
      <c r="D3" t="s">
        <v>216</v>
      </c>
    </row>
    <row r="4" spans="1:4" x14ac:dyDescent="0.3">
      <c r="A4" s="8" t="s">
        <v>67</v>
      </c>
      <c r="B4" s="9">
        <v>17</v>
      </c>
      <c r="C4" s="9">
        <v>2885000</v>
      </c>
      <c r="D4" s="9">
        <v>321000</v>
      </c>
    </row>
    <row r="5" spans="1:4" x14ac:dyDescent="0.3">
      <c r="A5" s="8" t="s">
        <v>41</v>
      </c>
      <c r="B5" s="9">
        <v>27</v>
      </c>
      <c r="C5" s="9">
        <v>3360000</v>
      </c>
      <c r="D5" s="9">
        <v>378000</v>
      </c>
    </row>
    <row r="6" spans="1:4" x14ac:dyDescent="0.3">
      <c r="A6" s="8" t="s">
        <v>21</v>
      </c>
      <c r="B6" s="9">
        <v>61</v>
      </c>
      <c r="C6" s="9">
        <v>13980000</v>
      </c>
      <c r="D6" s="9">
        <v>1561000</v>
      </c>
    </row>
    <row r="7" spans="1:4" x14ac:dyDescent="0.3">
      <c r="A7" s="8" t="s">
        <v>28</v>
      </c>
      <c r="B7" s="9">
        <v>35</v>
      </c>
      <c r="C7" s="9">
        <v>4865000</v>
      </c>
      <c r="D7" s="9">
        <v>534000</v>
      </c>
    </row>
    <row r="8" spans="1:4" x14ac:dyDescent="0.3">
      <c r="A8" s="8" t="s">
        <v>213</v>
      </c>
      <c r="B8" s="9">
        <v>140</v>
      </c>
      <c r="C8" s="9">
        <v>25090000</v>
      </c>
      <c r="D8" s="9">
        <v>2794000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6B1F4-6493-4E16-B98F-AD4EEBD059C1}">
  <dimension ref="A1:B8"/>
  <sheetViews>
    <sheetView tabSelected="1" workbookViewId="0">
      <selection activeCell="B8" sqref="B8"/>
    </sheetView>
  </sheetViews>
  <sheetFormatPr defaultRowHeight="14.4" x14ac:dyDescent="0.3"/>
  <cols>
    <col min="1" max="1" width="33.33203125" customWidth="1"/>
    <col min="2" max="2" width="16" customWidth="1"/>
  </cols>
  <sheetData>
    <row r="1" spans="1:2" ht="25.8" x14ac:dyDescent="0.5">
      <c r="A1" s="10" t="s">
        <v>217</v>
      </c>
    </row>
    <row r="3" spans="1:2" ht="23.4" x14ac:dyDescent="0.45">
      <c r="A3" s="11" t="s">
        <v>218</v>
      </c>
      <c r="B3" s="11" t="s">
        <v>219</v>
      </c>
    </row>
    <row r="4" spans="1:2" x14ac:dyDescent="0.3">
      <c r="A4" t="s">
        <v>207</v>
      </c>
      <c r="B4">
        <v>25090000</v>
      </c>
    </row>
    <row r="5" spans="1:2" x14ac:dyDescent="0.3">
      <c r="A5" t="s">
        <v>208</v>
      </c>
      <c r="B5">
        <v>2794000</v>
      </c>
    </row>
    <row r="6" spans="1:2" x14ac:dyDescent="0.3">
      <c r="A6" t="s">
        <v>220</v>
      </c>
      <c r="B6">
        <v>140</v>
      </c>
    </row>
    <row r="7" spans="1:2" x14ac:dyDescent="0.3">
      <c r="A7" t="s">
        <v>221</v>
      </c>
      <c r="B7">
        <v>185250</v>
      </c>
    </row>
    <row r="8" spans="1:2" x14ac:dyDescent="0.3">
      <c r="A8" t="s">
        <v>222</v>
      </c>
      <c r="B8" s="2">
        <v>4.4183333333333339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49D04-110C-41FA-93EB-EF6B846F0F34}">
  <dimension ref="A1:V121"/>
  <sheetViews>
    <sheetView topLeftCell="H1" workbookViewId="0">
      <selection activeCell="V2" sqref="V2"/>
    </sheetView>
  </sheetViews>
  <sheetFormatPr defaultRowHeight="14.4" x14ac:dyDescent="0.3"/>
  <cols>
    <col min="1" max="1" width="14" customWidth="1"/>
    <col min="2" max="2" width="17.44140625" style="6" customWidth="1"/>
    <col min="3" max="3" width="14.88671875" customWidth="1"/>
    <col min="4" max="4" width="12.21875" customWidth="1"/>
    <col min="5" max="5" width="11.77734375" customWidth="1"/>
    <col min="6" max="6" width="10.5546875" customWidth="1"/>
    <col min="7" max="7" width="11.77734375" customWidth="1"/>
    <col min="8" max="8" width="10.88671875" customWidth="1"/>
    <col min="9" max="9" width="9.5546875" bestFit="1" customWidth="1"/>
    <col min="10" max="10" width="15.21875" customWidth="1"/>
    <col min="11" max="11" width="12.5546875" customWidth="1"/>
    <col min="12" max="12" width="16.44140625" customWidth="1"/>
    <col min="13" max="13" width="17.33203125" customWidth="1"/>
    <col min="14" max="14" width="15.44140625" customWidth="1"/>
    <col min="16" max="16" width="13.6640625" customWidth="1"/>
    <col min="18" max="18" width="13.109375" customWidth="1"/>
    <col min="19" max="19" width="10.21875" customWidth="1"/>
    <col min="20" max="20" width="13" customWidth="1"/>
    <col min="21" max="21" width="16.44140625" customWidth="1"/>
    <col min="22" max="22" width="22.21875" customWidth="1"/>
  </cols>
  <sheetData>
    <row r="1" spans="1:22" x14ac:dyDescent="0.3">
      <c r="A1" s="1" t="s">
        <v>13</v>
      </c>
      <c r="B1" s="5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3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3" t="s">
        <v>12</v>
      </c>
      <c r="P1" s="1" t="s">
        <v>206</v>
      </c>
      <c r="R1" s="1" t="s">
        <v>207</v>
      </c>
      <c r="S1" s="1" t="s">
        <v>208</v>
      </c>
      <c r="T1" s="1" t="s">
        <v>209</v>
      </c>
      <c r="U1" s="1" t="s">
        <v>210</v>
      </c>
      <c r="V1" s="1" t="s">
        <v>211</v>
      </c>
    </row>
    <row r="2" spans="1:22" x14ac:dyDescent="0.3">
      <c r="A2" t="s">
        <v>15</v>
      </c>
      <c r="B2" s="6">
        <v>46027</v>
      </c>
      <c r="C2" t="s">
        <v>16</v>
      </c>
      <c r="D2" t="s">
        <v>17</v>
      </c>
      <c r="E2" t="s">
        <v>18</v>
      </c>
      <c r="F2" t="s">
        <v>19</v>
      </c>
      <c r="G2">
        <v>452</v>
      </c>
      <c r="H2">
        <v>29</v>
      </c>
      <c r="I2" s="4">
        <v>260000</v>
      </c>
      <c r="J2">
        <v>24</v>
      </c>
      <c r="K2" t="s">
        <v>20</v>
      </c>
      <c r="L2" t="s">
        <v>21</v>
      </c>
      <c r="M2">
        <v>4.5</v>
      </c>
      <c r="N2">
        <v>1</v>
      </c>
      <c r="O2" s="4">
        <v>28000</v>
      </c>
      <c r="P2">
        <f>Table1[[#This Row],[Price]]*Table1[[#This Row],[Sales_Quantity]]</f>
        <v>260000</v>
      </c>
      <c r="R2">
        <f>SUM(P2:P121)</f>
        <v>25090000</v>
      </c>
      <c r="S2" s="4">
        <f>SUM(Table1[Profit])</f>
        <v>2794000</v>
      </c>
      <c r="T2">
        <f>SUM(Table1[Sales_Quantity])</f>
        <v>140</v>
      </c>
      <c r="U2">
        <f>AVERAGE(Table1[Price])</f>
        <v>185250</v>
      </c>
      <c r="V2">
        <f>AVERAGE(Table1[Customer_Rating])</f>
        <v>4.4183333333333339</v>
      </c>
    </row>
    <row r="3" spans="1:22" x14ac:dyDescent="0.3">
      <c r="A3" t="s">
        <v>22</v>
      </c>
      <c r="B3" s="6">
        <v>46030</v>
      </c>
      <c r="C3" t="s">
        <v>23</v>
      </c>
      <c r="D3" t="s">
        <v>24</v>
      </c>
      <c r="E3" t="s">
        <v>25</v>
      </c>
      <c r="F3" t="s">
        <v>26</v>
      </c>
      <c r="G3">
        <v>155</v>
      </c>
      <c r="H3">
        <v>48</v>
      </c>
      <c r="I3" s="4">
        <v>175000</v>
      </c>
      <c r="J3">
        <v>22</v>
      </c>
      <c r="K3" t="s">
        <v>27</v>
      </c>
      <c r="L3" t="s">
        <v>28</v>
      </c>
      <c r="M3">
        <v>4.2</v>
      </c>
      <c r="N3">
        <v>1</v>
      </c>
      <c r="O3" s="4">
        <v>19000</v>
      </c>
      <c r="P3">
        <f>Table1[[#This Row],[Price]]*Table1[[#This Row],[Sales_Quantity]]</f>
        <v>175000</v>
      </c>
    </row>
    <row r="4" spans="1:22" x14ac:dyDescent="0.3">
      <c r="A4" t="s">
        <v>29</v>
      </c>
      <c r="B4" s="6">
        <v>46034</v>
      </c>
      <c r="C4" t="s">
        <v>30</v>
      </c>
      <c r="D4" t="s">
        <v>31</v>
      </c>
      <c r="E4" t="s">
        <v>32</v>
      </c>
      <c r="F4" t="s">
        <v>33</v>
      </c>
      <c r="G4">
        <v>399</v>
      </c>
      <c r="H4">
        <v>30</v>
      </c>
      <c r="I4" s="4">
        <v>305000</v>
      </c>
      <c r="J4">
        <v>27</v>
      </c>
      <c r="K4" t="s">
        <v>34</v>
      </c>
      <c r="L4" t="s">
        <v>21</v>
      </c>
      <c r="M4">
        <v>4.5999999999999996</v>
      </c>
      <c r="N4">
        <v>1</v>
      </c>
      <c r="O4" s="4">
        <v>32000</v>
      </c>
      <c r="P4">
        <f>Table1[[#This Row],[Price]]*Table1[[#This Row],[Sales_Quantity]]</f>
        <v>305000</v>
      </c>
    </row>
    <row r="5" spans="1:22" x14ac:dyDescent="0.3">
      <c r="A5" t="s">
        <v>35</v>
      </c>
      <c r="B5" s="6">
        <v>46037</v>
      </c>
      <c r="C5" t="s">
        <v>36</v>
      </c>
      <c r="D5" t="s">
        <v>37</v>
      </c>
      <c r="E5" t="s">
        <v>38</v>
      </c>
      <c r="F5" t="s">
        <v>39</v>
      </c>
      <c r="G5">
        <v>123</v>
      </c>
      <c r="H5">
        <v>55</v>
      </c>
      <c r="I5" s="4">
        <v>90000</v>
      </c>
      <c r="J5">
        <v>31</v>
      </c>
      <c r="K5" t="s">
        <v>40</v>
      </c>
      <c r="L5" t="s">
        <v>41</v>
      </c>
      <c r="M5">
        <v>4.0999999999999996</v>
      </c>
      <c r="N5">
        <v>1</v>
      </c>
      <c r="O5" s="4">
        <v>11000</v>
      </c>
      <c r="P5">
        <f>Table1[[#This Row],[Price]]*Table1[[#This Row],[Sales_Quantity]]</f>
        <v>90000</v>
      </c>
    </row>
    <row r="6" spans="1:22" x14ac:dyDescent="0.3">
      <c r="A6" t="s">
        <v>42</v>
      </c>
      <c r="B6" s="6">
        <v>46041</v>
      </c>
      <c r="C6" t="s">
        <v>43</v>
      </c>
      <c r="D6" t="s">
        <v>44</v>
      </c>
      <c r="E6" t="s">
        <v>45</v>
      </c>
      <c r="F6" t="s">
        <v>46</v>
      </c>
      <c r="G6">
        <v>199</v>
      </c>
      <c r="H6">
        <v>40</v>
      </c>
      <c r="I6" s="4">
        <v>155000</v>
      </c>
      <c r="J6">
        <v>25</v>
      </c>
      <c r="K6" t="s">
        <v>47</v>
      </c>
      <c r="L6" t="s">
        <v>21</v>
      </c>
      <c r="M6">
        <v>4.3</v>
      </c>
      <c r="N6">
        <v>1</v>
      </c>
      <c r="O6" s="4">
        <v>17000</v>
      </c>
      <c r="P6">
        <f>Table1[[#This Row],[Price]]*Table1[[#This Row],[Sales_Quantity]]</f>
        <v>155000</v>
      </c>
    </row>
    <row r="7" spans="1:22" x14ac:dyDescent="0.3">
      <c r="A7" t="s">
        <v>48</v>
      </c>
      <c r="B7" s="6">
        <v>46045</v>
      </c>
      <c r="C7" t="s">
        <v>23</v>
      </c>
      <c r="D7" t="s">
        <v>49</v>
      </c>
      <c r="E7" t="s">
        <v>18</v>
      </c>
      <c r="F7" t="s">
        <v>50</v>
      </c>
      <c r="G7">
        <v>349</v>
      </c>
      <c r="H7">
        <v>41</v>
      </c>
      <c r="I7" s="4">
        <v>195000</v>
      </c>
      <c r="J7">
        <v>29</v>
      </c>
      <c r="K7" t="s">
        <v>51</v>
      </c>
      <c r="L7" t="s">
        <v>21</v>
      </c>
      <c r="M7">
        <v>4.4000000000000004</v>
      </c>
      <c r="N7">
        <v>1</v>
      </c>
      <c r="O7" s="4">
        <v>22000</v>
      </c>
      <c r="P7">
        <f>Table1[[#This Row],[Price]]*Table1[[#This Row],[Sales_Quantity]]</f>
        <v>195000</v>
      </c>
    </row>
    <row r="8" spans="1:22" x14ac:dyDescent="0.3">
      <c r="A8" t="s">
        <v>52</v>
      </c>
      <c r="B8" s="6">
        <v>46050</v>
      </c>
      <c r="C8" t="s">
        <v>16</v>
      </c>
      <c r="D8" t="s">
        <v>53</v>
      </c>
      <c r="E8" t="s">
        <v>54</v>
      </c>
      <c r="F8" t="s">
        <v>55</v>
      </c>
      <c r="G8">
        <v>197</v>
      </c>
      <c r="H8">
        <v>38</v>
      </c>
      <c r="I8" s="4">
        <v>155000</v>
      </c>
      <c r="J8">
        <v>23</v>
      </c>
      <c r="K8" t="s">
        <v>27</v>
      </c>
      <c r="L8" t="s">
        <v>28</v>
      </c>
      <c r="M8">
        <v>4</v>
      </c>
      <c r="N8">
        <v>1</v>
      </c>
      <c r="O8" s="4">
        <v>16000</v>
      </c>
      <c r="P8">
        <f>Table1[[#This Row],[Price]]*Table1[[#This Row],[Sales_Quantity]]</f>
        <v>155000</v>
      </c>
    </row>
    <row r="9" spans="1:22" x14ac:dyDescent="0.3">
      <c r="A9" t="s">
        <v>56</v>
      </c>
      <c r="B9" s="6">
        <v>46055</v>
      </c>
      <c r="C9" t="s">
        <v>57</v>
      </c>
      <c r="D9" t="s">
        <v>58</v>
      </c>
      <c r="E9" t="s">
        <v>59</v>
      </c>
      <c r="F9" t="s">
        <v>60</v>
      </c>
      <c r="G9">
        <v>163</v>
      </c>
      <c r="H9">
        <v>48</v>
      </c>
      <c r="I9" s="4">
        <v>125000</v>
      </c>
      <c r="J9">
        <v>26</v>
      </c>
      <c r="K9" t="s">
        <v>61</v>
      </c>
      <c r="L9" t="s">
        <v>21</v>
      </c>
      <c r="M9">
        <v>4.0999999999999996</v>
      </c>
      <c r="N9">
        <v>1</v>
      </c>
      <c r="O9" s="4">
        <v>14000</v>
      </c>
      <c r="P9">
        <f>Table1[[#This Row],[Price]]*Table1[[#This Row],[Sales_Quantity]]</f>
        <v>125000</v>
      </c>
    </row>
    <row r="10" spans="1:22" x14ac:dyDescent="0.3">
      <c r="A10" t="s">
        <v>62</v>
      </c>
      <c r="B10" s="6">
        <v>46059</v>
      </c>
      <c r="C10" t="s">
        <v>30</v>
      </c>
      <c r="D10" t="s">
        <v>63</v>
      </c>
      <c r="E10" t="s">
        <v>64</v>
      </c>
      <c r="F10" t="s">
        <v>65</v>
      </c>
      <c r="G10">
        <v>155</v>
      </c>
      <c r="H10">
        <v>45</v>
      </c>
      <c r="I10" s="4">
        <v>145000</v>
      </c>
      <c r="J10">
        <v>30</v>
      </c>
      <c r="K10" t="s">
        <v>66</v>
      </c>
      <c r="L10" t="s">
        <v>67</v>
      </c>
      <c r="M10">
        <v>4.5</v>
      </c>
      <c r="N10">
        <v>1</v>
      </c>
      <c r="O10" s="4">
        <v>16000</v>
      </c>
      <c r="P10">
        <f>Table1[[#This Row],[Price]]*Table1[[#This Row],[Sales_Quantity]]</f>
        <v>145000</v>
      </c>
    </row>
    <row r="11" spans="1:22" x14ac:dyDescent="0.3">
      <c r="A11" t="s">
        <v>68</v>
      </c>
      <c r="B11" s="6">
        <v>46063</v>
      </c>
      <c r="C11" t="s">
        <v>16</v>
      </c>
      <c r="D11" t="s">
        <v>69</v>
      </c>
      <c r="E11" t="s">
        <v>18</v>
      </c>
      <c r="F11" t="s">
        <v>70</v>
      </c>
      <c r="G11">
        <v>349</v>
      </c>
      <c r="H11">
        <v>36</v>
      </c>
      <c r="I11" s="4">
        <v>175000</v>
      </c>
      <c r="J11">
        <v>28</v>
      </c>
      <c r="K11" t="s">
        <v>47</v>
      </c>
      <c r="L11" t="s">
        <v>21</v>
      </c>
      <c r="M11">
        <v>4.4000000000000004</v>
      </c>
      <c r="N11">
        <v>2</v>
      </c>
      <c r="O11" s="4">
        <v>39000</v>
      </c>
      <c r="P11">
        <f>Table1[[#This Row],[Price]]*Table1[[#This Row],[Sales_Quantity]]</f>
        <v>350000</v>
      </c>
    </row>
    <row r="12" spans="1:22" x14ac:dyDescent="0.3">
      <c r="A12" t="s">
        <v>71</v>
      </c>
      <c r="B12" s="6">
        <v>46067</v>
      </c>
      <c r="C12" t="s">
        <v>23</v>
      </c>
      <c r="D12" t="s">
        <v>24</v>
      </c>
      <c r="E12" t="s">
        <v>32</v>
      </c>
      <c r="F12" t="s">
        <v>72</v>
      </c>
      <c r="G12">
        <v>249</v>
      </c>
      <c r="H12">
        <v>32</v>
      </c>
      <c r="I12" s="4">
        <v>240000</v>
      </c>
      <c r="J12">
        <v>24</v>
      </c>
      <c r="K12" t="s">
        <v>20</v>
      </c>
      <c r="L12" t="s">
        <v>21</v>
      </c>
      <c r="M12">
        <v>4.3</v>
      </c>
      <c r="N12">
        <v>1</v>
      </c>
      <c r="O12" s="4">
        <v>26000</v>
      </c>
      <c r="P12">
        <f>Table1[[#This Row],[Price]]*Table1[[#This Row],[Sales_Quantity]]</f>
        <v>240000</v>
      </c>
    </row>
    <row r="13" spans="1:22" x14ac:dyDescent="0.3">
      <c r="A13" t="s">
        <v>73</v>
      </c>
      <c r="B13" s="6">
        <v>46071</v>
      </c>
      <c r="C13" t="s">
        <v>36</v>
      </c>
      <c r="D13" t="s">
        <v>74</v>
      </c>
      <c r="E13" t="s">
        <v>54</v>
      </c>
      <c r="F13" t="s">
        <v>75</v>
      </c>
      <c r="G13">
        <v>225</v>
      </c>
      <c r="H13">
        <v>42</v>
      </c>
      <c r="I13" s="4">
        <v>165000</v>
      </c>
      <c r="J13">
        <v>33</v>
      </c>
      <c r="K13" t="s">
        <v>76</v>
      </c>
      <c r="L13" t="s">
        <v>41</v>
      </c>
      <c r="M13">
        <v>4.5</v>
      </c>
      <c r="N13">
        <v>1</v>
      </c>
      <c r="O13" s="4">
        <v>18000</v>
      </c>
      <c r="P13">
        <f>Table1[[#This Row],[Price]]*Table1[[#This Row],[Sales_Quantity]]</f>
        <v>165000</v>
      </c>
    </row>
    <row r="14" spans="1:22" x14ac:dyDescent="0.3">
      <c r="A14" t="s">
        <v>77</v>
      </c>
      <c r="B14" s="6">
        <v>46074</v>
      </c>
      <c r="C14" t="s">
        <v>43</v>
      </c>
      <c r="D14" t="s">
        <v>78</v>
      </c>
      <c r="E14" t="s">
        <v>38</v>
      </c>
      <c r="F14" t="s">
        <v>79</v>
      </c>
      <c r="G14">
        <v>124</v>
      </c>
      <c r="H14">
        <v>60</v>
      </c>
      <c r="I14" s="4">
        <v>105000</v>
      </c>
      <c r="J14">
        <v>21</v>
      </c>
      <c r="K14" t="s">
        <v>27</v>
      </c>
      <c r="L14" t="s">
        <v>28</v>
      </c>
      <c r="M14">
        <v>4</v>
      </c>
      <c r="N14">
        <v>1</v>
      </c>
      <c r="O14" s="4">
        <v>12000</v>
      </c>
      <c r="P14">
        <f>Table1[[#This Row],[Price]]*Table1[[#This Row],[Sales_Quantity]]</f>
        <v>105000</v>
      </c>
    </row>
    <row r="15" spans="1:22" x14ac:dyDescent="0.3">
      <c r="A15" t="s">
        <v>80</v>
      </c>
      <c r="B15" s="6">
        <v>46078</v>
      </c>
      <c r="C15" t="s">
        <v>16</v>
      </c>
      <c r="D15" t="s">
        <v>81</v>
      </c>
      <c r="E15" t="s">
        <v>45</v>
      </c>
      <c r="F15" t="s">
        <v>82</v>
      </c>
      <c r="G15">
        <v>149</v>
      </c>
      <c r="H15">
        <v>47</v>
      </c>
      <c r="I15" s="4">
        <v>115000</v>
      </c>
      <c r="J15">
        <v>35</v>
      </c>
      <c r="K15" t="s">
        <v>40</v>
      </c>
      <c r="L15" t="s">
        <v>41</v>
      </c>
      <c r="M15">
        <v>4.2</v>
      </c>
      <c r="N15">
        <v>1</v>
      </c>
      <c r="O15" s="4">
        <v>13000</v>
      </c>
      <c r="P15">
        <f>Table1[[#This Row],[Price]]*Table1[[#This Row],[Sales_Quantity]]</f>
        <v>115000</v>
      </c>
    </row>
    <row r="16" spans="1:22" x14ac:dyDescent="0.3">
      <c r="A16" t="s">
        <v>83</v>
      </c>
      <c r="B16" s="6">
        <v>46082</v>
      </c>
      <c r="C16" t="s">
        <v>30</v>
      </c>
      <c r="D16" t="s">
        <v>31</v>
      </c>
      <c r="E16" t="s">
        <v>18</v>
      </c>
      <c r="F16" t="s">
        <v>84</v>
      </c>
      <c r="G16">
        <v>648</v>
      </c>
      <c r="H16">
        <v>23</v>
      </c>
      <c r="I16" s="4">
        <v>320000</v>
      </c>
      <c r="J16">
        <v>32</v>
      </c>
      <c r="K16" t="s">
        <v>47</v>
      </c>
      <c r="L16" t="s">
        <v>21</v>
      </c>
      <c r="M16">
        <v>4.7</v>
      </c>
      <c r="N16">
        <v>1</v>
      </c>
      <c r="O16" s="4">
        <v>35000</v>
      </c>
      <c r="P16">
        <f>Table1[[#This Row],[Price]]*Table1[[#This Row],[Sales_Quantity]]</f>
        <v>320000</v>
      </c>
    </row>
    <row r="17" spans="1:16" x14ac:dyDescent="0.3">
      <c r="A17" t="s">
        <v>85</v>
      </c>
      <c r="B17" s="6">
        <v>46086</v>
      </c>
      <c r="C17" t="s">
        <v>23</v>
      </c>
      <c r="D17" t="s">
        <v>24</v>
      </c>
      <c r="E17" t="s">
        <v>25</v>
      </c>
      <c r="F17" t="s">
        <v>86</v>
      </c>
      <c r="G17">
        <v>155</v>
      </c>
      <c r="H17">
        <v>45</v>
      </c>
      <c r="I17" s="4">
        <v>205000</v>
      </c>
      <c r="J17">
        <v>23</v>
      </c>
      <c r="K17" t="s">
        <v>20</v>
      </c>
      <c r="L17" t="s">
        <v>21</v>
      </c>
      <c r="M17">
        <v>4.5999999999999996</v>
      </c>
      <c r="N17">
        <v>1</v>
      </c>
      <c r="O17" s="4">
        <v>23000</v>
      </c>
      <c r="P17">
        <f>Table1[[#This Row],[Price]]*Table1[[#This Row],[Sales_Quantity]]</f>
        <v>205000</v>
      </c>
    </row>
    <row r="18" spans="1:16" x14ac:dyDescent="0.3">
      <c r="A18" t="s">
        <v>87</v>
      </c>
      <c r="B18" s="6">
        <v>46090</v>
      </c>
      <c r="C18" t="s">
        <v>16</v>
      </c>
      <c r="D18" t="s">
        <v>17</v>
      </c>
      <c r="E18" t="s">
        <v>38</v>
      </c>
      <c r="F18" t="s">
        <v>88</v>
      </c>
      <c r="G18">
        <v>162</v>
      </c>
      <c r="H18">
        <v>50</v>
      </c>
      <c r="I18" s="4">
        <v>115000</v>
      </c>
      <c r="J18">
        <v>38</v>
      </c>
      <c r="K18" t="s">
        <v>89</v>
      </c>
      <c r="L18" t="s">
        <v>41</v>
      </c>
      <c r="M18">
        <v>4.3</v>
      </c>
      <c r="N18">
        <v>1</v>
      </c>
      <c r="O18" s="4">
        <v>14000</v>
      </c>
      <c r="P18">
        <f>Table1[[#This Row],[Price]]*Table1[[#This Row],[Sales_Quantity]]</f>
        <v>115000</v>
      </c>
    </row>
    <row r="19" spans="1:16" x14ac:dyDescent="0.3">
      <c r="A19" t="s">
        <v>90</v>
      </c>
      <c r="B19" s="6">
        <v>46094</v>
      </c>
      <c r="C19" t="s">
        <v>57</v>
      </c>
      <c r="D19" t="s">
        <v>91</v>
      </c>
      <c r="E19" t="s">
        <v>32</v>
      </c>
      <c r="F19" t="s">
        <v>92</v>
      </c>
      <c r="G19">
        <v>373</v>
      </c>
      <c r="H19">
        <v>28</v>
      </c>
      <c r="I19" s="4">
        <v>340000</v>
      </c>
      <c r="J19">
        <v>29</v>
      </c>
      <c r="K19" t="s">
        <v>34</v>
      </c>
      <c r="L19" t="s">
        <v>21</v>
      </c>
      <c r="M19">
        <v>4.5</v>
      </c>
      <c r="N19">
        <v>1</v>
      </c>
      <c r="O19" s="4">
        <v>37000</v>
      </c>
      <c r="P19">
        <f>Table1[[#This Row],[Price]]*Table1[[#This Row],[Sales_Quantity]]</f>
        <v>340000</v>
      </c>
    </row>
    <row r="20" spans="1:16" x14ac:dyDescent="0.3">
      <c r="A20" t="s">
        <v>93</v>
      </c>
      <c r="B20" s="6">
        <v>46098</v>
      </c>
      <c r="C20" t="s">
        <v>36</v>
      </c>
      <c r="D20" t="s">
        <v>37</v>
      </c>
      <c r="E20" t="s">
        <v>18</v>
      </c>
      <c r="F20" t="s">
        <v>94</v>
      </c>
      <c r="G20">
        <v>349</v>
      </c>
      <c r="H20">
        <v>41</v>
      </c>
      <c r="I20" s="4">
        <v>205000</v>
      </c>
      <c r="J20">
        <v>34</v>
      </c>
      <c r="K20" t="s">
        <v>47</v>
      </c>
      <c r="L20" t="s">
        <v>67</v>
      </c>
      <c r="M20">
        <v>4.4000000000000004</v>
      </c>
      <c r="N20">
        <v>1</v>
      </c>
      <c r="O20" s="4">
        <v>23000</v>
      </c>
      <c r="P20">
        <f>Table1[[#This Row],[Price]]*Table1[[#This Row],[Sales_Quantity]]</f>
        <v>205000</v>
      </c>
    </row>
    <row r="21" spans="1:16" x14ac:dyDescent="0.3">
      <c r="A21" t="s">
        <v>95</v>
      </c>
      <c r="B21" s="6">
        <v>46102</v>
      </c>
      <c r="C21" t="s">
        <v>43</v>
      </c>
      <c r="D21" t="s">
        <v>96</v>
      </c>
      <c r="E21" t="s">
        <v>54</v>
      </c>
      <c r="F21" t="s">
        <v>97</v>
      </c>
      <c r="G21">
        <v>159</v>
      </c>
      <c r="H21">
        <v>47</v>
      </c>
      <c r="I21" s="4">
        <v>135000</v>
      </c>
      <c r="J21">
        <v>26</v>
      </c>
      <c r="K21" t="s">
        <v>40</v>
      </c>
      <c r="L21" t="s">
        <v>28</v>
      </c>
      <c r="M21">
        <v>4.0999999999999996</v>
      </c>
      <c r="N21">
        <v>1</v>
      </c>
      <c r="O21" s="4">
        <v>15000</v>
      </c>
      <c r="P21">
        <f>Table1[[#This Row],[Price]]*Table1[[#This Row],[Sales_Quantity]]</f>
        <v>135000</v>
      </c>
    </row>
    <row r="22" spans="1:16" x14ac:dyDescent="0.3">
      <c r="A22" t="s">
        <v>98</v>
      </c>
      <c r="B22" s="6">
        <v>46106</v>
      </c>
      <c r="C22" t="s">
        <v>16</v>
      </c>
      <c r="D22" t="s">
        <v>69</v>
      </c>
      <c r="E22" t="s">
        <v>25</v>
      </c>
      <c r="F22" t="s">
        <v>99</v>
      </c>
      <c r="G22">
        <v>149</v>
      </c>
      <c r="H22">
        <v>49</v>
      </c>
      <c r="I22" s="4">
        <v>125000</v>
      </c>
      <c r="J22">
        <v>27</v>
      </c>
      <c r="K22" t="s">
        <v>61</v>
      </c>
      <c r="L22" t="s">
        <v>21</v>
      </c>
      <c r="M22">
        <v>4</v>
      </c>
      <c r="N22">
        <v>1</v>
      </c>
      <c r="O22" s="4">
        <v>14000</v>
      </c>
      <c r="P22">
        <f>Table1[[#This Row],[Price]]*Table1[[#This Row],[Sales_Quantity]]</f>
        <v>125000</v>
      </c>
    </row>
    <row r="23" spans="1:16" x14ac:dyDescent="0.3">
      <c r="A23" t="s">
        <v>100</v>
      </c>
      <c r="B23" s="6">
        <v>46110</v>
      </c>
      <c r="C23" t="s">
        <v>30</v>
      </c>
      <c r="D23" t="s">
        <v>101</v>
      </c>
      <c r="E23" t="s">
        <v>59</v>
      </c>
      <c r="F23" t="s">
        <v>102</v>
      </c>
      <c r="G23">
        <v>199</v>
      </c>
      <c r="H23">
        <v>40</v>
      </c>
      <c r="I23" s="4">
        <v>155000</v>
      </c>
      <c r="J23">
        <v>30</v>
      </c>
      <c r="K23" t="s">
        <v>103</v>
      </c>
      <c r="L23" t="s">
        <v>41</v>
      </c>
      <c r="M23">
        <v>4.5</v>
      </c>
      <c r="N23">
        <v>1</v>
      </c>
      <c r="O23" s="4">
        <v>17000</v>
      </c>
      <c r="P23">
        <f>Table1[[#This Row],[Price]]*Table1[[#This Row],[Sales_Quantity]]</f>
        <v>155000</v>
      </c>
    </row>
    <row r="24" spans="1:16" x14ac:dyDescent="0.3">
      <c r="A24" t="s">
        <v>104</v>
      </c>
      <c r="B24" s="6">
        <v>46115</v>
      </c>
      <c r="C24" t="s">
        <v>23</v>
      </c>
      <c r="D24" t="s">
        <v>49</v>
      </c>
      <c r="E24" t="s">
        <v>45</v>
      </c>
      <c r="F24" t="s">
        <v>105</v>
      </c>
      <c r="G24">
        <v>373</v>
      </c>
      <c r="H24">
        <v>30</v>
      </c>
      <c r="I24" s="4">
        <v>245000</v>
      </c>
      <c r="J24">
        <v>31</v>
      </c>
      <c r="K24" t="s">
        <v>47</v>
      </c>
      <c r="L24" t="s">
        <v>21</v>
      </c>
      <c r="M24">
        <v>4.4000000000000004</v>
      </c>
      <c r="N24">
        <v>1</v>
      </c>
      <c r="O24" s="4">
        <v>28000</v>
      </c>
      <c r="P24">
        <f>Table1[[#This Row],[Price]]*Table1[[#This Row],[Sales_Quantity]]</f>
        <v>245000</v>
      </c>
    </row>
    <row r="25" spans="1:16" x14ac:dyDescent="0.3">
      <c r="A25" t="s">
        <v>106</v>
      </c>
      <c r="B25" s="6">
        <v>46119</v>
      </c>
      <c r="C25" t="s">
        <v>36</v>
      </c>
      <c r="D25" t="s">
        <v>107</v>
      </c>
      <c r="E25" t="s">
        <v>38</v>
      </c>
      <c r="F25" t="s">
        <v>108</v>
      </c>
      <c r="G25">
        <v>184</v>
      </c>
      <c r="H25">
        <v>42</v>
      </c>
      <c r="I25" s="4">
        <v>145000</v>
      </c>
      <c r="J25">
        <v>24</v>
      </c>
      <c r="K25" t="s">
        <v>34</v>
      </c>
      <c r="L25" t="s">
        <v>28</v>
      </c>
      <c r="M25">
        <v>4.2</v>
      </c>
      <c r="N25">
        <v>1</v>
      </c>
      <c r="O25" s="4">
        <v>16000</v>
      </c>
      <c r="P25">
        <f>Table1[[#This Row],[Price]]*Table1[[#This Row],[Sales_Quantity]]</f>
        <v>145000</v>
      </c>
    </row>
    <row r="26" spans="1:16" x14ac:dyDescent="0.3">
      <c r="A26" t="s">
        <v>109</v>
      </c>
      <c r="B26" s="6">
        <v>46123</v>
      </c>
      <c r="C26" t="s">
        <v>16</v>
      </c>
      <c r="D26" t="s">
        <v>53</v>
      </c>
      <c r="E26" t="s">
        <v>18</v>
      </c>
      <c r="F26" t="s">
        <v>19</v>
      </c>
      <c r="G26">
        <v>452</v>
      </c>
      <c r="H26">
        <v>29</v>
      </c>
      <c r="I26" s="4">
        <v>260000</v>
      </c>
      <c r="J26">
        <v>27</v>
      </c>
      <c r="K26" t="s">
        <v>20</v>
      </c>
      <c r="L26" t="s">
        <v>21</v>
      </c>
      <c r="M26">
        <v>4.7</v>
      </c>
      <c r="N26">
        <v>1</v>
      </c>
      <c r="O26" s="4">
        <v>29000</v>
      </c>
      <c r="P26">
        <f>Table1[[#This Row],[Price]]*Table1[[#This Row],[Sales_Quantity]]</f>
        <v>260000</v>
      </c>
    </row>
    <row r="27" spans="1:16" x14ac:dyDescent="0.3">
      <c r="A27" t="s">
        <v>110</v>
      </c>
      <c r="B27" s="6">
        <v>46127</v>
      </c>
      <c r="C27" t="s">
        <v>43</v>
      </c>
      <c r="D27" t="s">
        <v>44</v>
      </c>
      <c r="E27" t="s">
        <v>32</v>
      </c>
      <c r="F27" t="s">
        <v>33</v>
      </c>
      <c r="G27">
        <v>399</v>
      </c>
      <c r="H27">
        <v>30</v>
      </c>
      <c r="I27" s="4">
        <v>305000</v>
      </c>
      <c r="J27">
        <v>25</v>
      </c>
      <c r="K27" t="s">
        <v>47</v>
      </c>
      <c r="L27" t="s">
        <v>21</v>
      </c>
      <c r="M27">
        <v>4.5999999999999996</v>
      </c>
      <c r="N27">
        <v>1</v>
      </c>
      <c r="O27" s="4">
        <v>33000</v>
      </c>
      <c r="P27">
        <f>Table1[[#This Row],[Price]]*Table1[[#This Row],[Sales_Quantity]]</f>
        <v>305000</v>
      </c>
    </row>
    <row r="28" spans="1:16" x14ac:dyDescent="0.3">
      <c r="A28" t="s">
        <v>111</v>
      </c>
      <c r="B28" s="6">
        <v>46131</v>
      </c>
      <c r="C28" t="s">
        <v>57</v>
      </c>
      <c r="D28" t="s">
        <v>58</v>
      </c>
      <c r="E28" t="s">
        <v>25</v>
      </c>
      <c r="F28" t="s">
        <v>26</v>
      </c>
      <c r="G28">
        <v>155</v>
      </c>
      <c r="H28">
        <v>48</v>
      </c>
      <c r="I28" s="4">
        <v>175000</v>
      </c>
      <c r="J28">
        <v>22</v>
      </c>
      <c r="K28" t="s">
        <v>27</v>
      </c>
      <c r="L28" t="s">
        <v>28</v>
      </c>
      <c r="M28">
        <v>4.3</v>
      </c>
      <c r="N28">
        <v>1</v>
      </c>
      <c r="O28" s="4">
        <v>19000</v>
      </c>
      <c r="P28">
        <f>Table1[[#This Row],[Price]]*Table1[[#This Row],[Sales_Quantity]]</f>
        <v>175000</v>
      </c>
    </row>
    <row r="29" spans="1:16" x14ac:dyDescent="0.3">
      <c r="A29" t="s">
        <v>112</v>
      </c>
      <c r="B29" s="6">
        <v>46135</v>
      </c>
      <c r="C29" t="s">
        <v>30</v>
      </c>
      <c r="D29" t="s">
        <v>31</v>
      </c>
      <c r="E29" t="s">
        <v>18</v>
      </c>
      <c r="F29" t="s">
        <v>50</v>
      </c>
      <c r="G29">
        <v>349</v>
      </c>
      <c r="H29">
        <v>41</v>
      </c>
      <c r="I29" s="4">
        <v>195000</v>
      </c>
      <c r="J29">
        <v>36</v>
      </c>
      <c r="K29" t="s">
        <v>76</v>
      </c>
      <c r="L29" t="s">
        <v>67</v>
      </c>
      <c r="M29">
        <v>4.5</v>
      </c>
      <c r="N29">
        <v>1</v>
      </c>
      <c r="O29" s="4">
        <v>22000</v>
      </c>
      <c r="P29">
        <f>Table1[[#This Row],[Price]]*Table1[[#This Row],[Sales_Quantity]]</f>
        <v>195000</v>
      </c>
    </row>
    <row r="30" spans="1:16" x14ac:dyDescent="0.3">
      <c r="A30" t="s">
        <v>113</v>
      </c>
      <c r="B30" s="6">
        <v>46139</v>
      </c>
      <c r="C30" t="s">
        <v>16</v>
      </c>
      <c r="D30" t="s">
        <v>81</v>
      </c>
      <c r="E30" t="s">
        <v>54</v>
      </c>
      <c r="F30" t="s">
        <v>75</v>
      </c>
      <c r="G30">
        <v>225</v>
      </c>
      <c r="H30">
        <v>42</v>
      </c>
      <c r="I30" s="4">
        <v>165000</v>
      </c>
      <c r="J30">
        <v>29</v>
      </c>
      <c r="K30" t="s">
        <v>40</v>
      </c>
      <c r="L30" t="s">
        <v>41</v>
      </c>
      <c r="M30">
        <v>4.2</v>
      </c>
      <c r="N30">
        <v>1</v>
      </c>
      <c r="O30" s="4">
        <v>18000</v>
      </c>
      <c r="P30">
        <f>Table1[[#This Row],[Price]]*Table1[[#This Row],[Sales_Quantity]]</f>
        <v>165000</v>
      </c>
    </row>
    <row r="31" spans="1:16" x14ac:dyDescent="0.3">
      <c r="A31" t="s">
        <v>114</v>
      </c>
      <c r="B31" s="6">
        <v>46144</v>
      </c>
      <c r="C31" t="s">
        <v>23</v>
      </c>
      <c r="D31" t="s">
        <v>24</v>
      </c>
      <c r="E31" t="s">
        <v>38</v>
      </c>
      <c r="F31" t="s">
        <v>39</v>
      </c>
      <c r="G31">
        <v>123</v>
      </c>
      <c r="H31">
        <v>55</v>
      </c>
      <c r="I31" s="4">
        <v>90000</v>
      </c>
      <c r="J31">
        <v>40</v>
      </c>
      <c r="K31" t="s">
        <v>89</v>
      </c>
      <c r="L31" t="s">
        <v>41</v>
      </c>
      <c r="M31">
        <v>4</v>
      </c>
      <c r="N31">
        <v>1</v>
      </c>
      <c r="O31" s="4">
        <v>10000</v>
      </c>
      <c r="P31">
        <f>Table1[[#This Row],[Price]]*Table1[[#This Row],[Sales_Quantity]]</f>
        <v>90000</v>
      </c>
    </row>
    <row r="32" spans="1:16" x14ac:dyDescent="0.3">
      <c r="A32" t="s">
        <v>115</v>
      </c>
      <c r="B32" s="6">
        <v>46148</v>
      </c>
      <c r="C32" t="s">
        <v>16</v>
      </c>
      <c r="D32" t="s">
        <v>17</v>
      </c>
      <c r="E32" t="s">
        <v>18</v>
      </c>
      <c r="F32" t="s">
        <v>70</v>
      </c>
      <c r="G32">
        <v>349</v>
      </c>
      <c r="H32">
        <v>36</v>
      </c>
      <c r="I32" s="4">
        <v>175000</v>
      </c>
      <c r="J32">
        <v>26</v>
      </c>
      <c r="K32" t="s">
        <v>20</v>
      </c>
      <c r="L32" t="s">
        <v>21</v>
      </c>
      <c r="M32">
        <v>4.5</v>
      </c>
      <c r="N32">
        <v>1</v>
      </c>
      <c r="O32" s="4">
        <v>20000</v>
      </c>
      <c r="P32">
        <f>Table1[[#This Row],[Price]]*Table1[[#This Row],[Sales_Quantity]]</f>
        <v>175000</v>
      </c>
    </row>
    <row r="33" spans="1:16" x14ac:dyDescent="0.3">
      <c r="A33" t="s">
        <v>116</v>
      </c>
      <c r="B33" s="6">
        <v>46152</v>
      </c>
      <c r="C33" t="s">
        <v>23</v>
      </c>
      <c r="D33" t="s">
        <v>117</v>
      </c>
      <c r="E33" t="s">
        <v>25</v>
      </c>
      <c r="F33" t="s">
        <v>86</v>
      </c>
      <c r="G33">
        <v>155</v>
      </c>
      <c r="H33">
        <v>45</v>
      </c>
      <c r="I33" s="4">
        <v>205000</v>
      </c>
      <c r="J33">
        <v>24</v>
      </c>
      <c r="K33" t="s">
        <v>27</v>
      </c>
      <c r="L33" t="s">
        <v>28</v>
      </c>
      <c r="M33">
        <v>4.2</v>
      </c>
      <c r="N33">
        <v>1</v>
      </c>
      <c r="O33" s="4">
        <v>22000</v>
      </c>
      <c r="P33">
        <f>Table1[[#This Row],[Price]]*Table1[[#This Row],[Sales_Quantity]]</f>
        <v>205000</v>
      </c>
    </row>
    <row r="34" spans="1:16" x14ac:dyDescent="0.3">
      <c r="A34" t="s">
        <v>118</v>
      </c>
      <c r="B34" s="6">
        <v>46156</v>
      </c>
      <c r="C34" t="s">
        <v>30</v>
      </c>
      <c r="D34" t="s">
        <v>63</v>
      </c>
      <c r="E34" t="s">
        <v>38</v>
      </c>
      <c r="F34" t="s">
        <v>79</v>
      </c>
      <c r="G34">
        <v>124</v>
      </c>
      <c r="H34">
        <v>60</v>
      </c>
      <c r="I34" s="4">
        <v>105000</v>
      </c>
      <c r="J34">
        <v>29</v>
      </c>
      <c r="K34" t="s">
        <v>40</v>
      </c>
      <c r="L34" t="s">
        <v>41</v>
      </c>
      <c r="M34">
        <v>4.3</v>
      </c>
      <c r="N34">
        <v>1</v>
      </c>
      <c r="O34" s="4">
        <v>12000</v>
      </c>
      <c r="P34">
        <f>Table1[[#This Row],[Price]]*Table1[[#This Row],[Sales_Quantity]]</f>
        <v>105000</v>
      </c>
    </row>
    <row r="35" spans="1:16" x14ac:dyDescent="0.3">
      <c r="A35" t="s">
        <v>119</v>
      </c>
      <c r="B35" s="6">
        <v>46160</v>
      </c>
      <c r="C35" t="s">
        <v>43</v>
      </c>
      <c r="D35" t="s">
        <v>44</v>
      </c>
      <c r="E35" t="s">
        <v>45</v>
      </c>
      <c r="F35" t="s">
        <v>46</v>
      </c>
      <c r="G35">
        <v>199</v>
      </c>
      <c r="H35">
        <v>40</v>
      </c>
      <c r="I35" s="4">
        <v>155000</v>
      </c>
      <c r="J35">
        <v>27</v>
      </c>
      <c r="K35" t="s">
        <v>34</v>
      </c>
      <c r="L35" t="s">
        <v>21</v>
      </c>
      <c r="M35">
        <v>4.4000000000000004</v>
      </c>
      <c r="N35">
        <v>1</v>
      </c>
      <c r="O35" s="4">
        <v>17000</v>
      </c>
      <c r="P35">
        <f>Table1[[#This Row],[Price]]*Table1[[#This Row],[Sales_Quantity]]</f>
        <v>155000</v>
      </c>
    </row>
    <row r="36" spans="1:16" x14ac:dyDescent="0.3">
      <c r="A36" t="s">
        <v>120</v>
      </c>
      <c r="B36" s="6">
        <v>46164</v>
      </c>
      <c r="C36" t="s">
        <v>36</v>
      </c>
      <c r="D36" t="s">
        <v>37</v>
      </c>
      <c r="E36" t="s">
        <v>54</v>
      </c>
      <c r="F36" t="s">
        <v>55</v>
      </c>
      <c r="G36">
        <v>197</v>
      </c>
      <c r="H36">
        <v>38</v>
      </c>
      <c r="I36" s="4">
        <v>155000</v>
      </c>
      <c r="J36">
        <v>25</v>
      </c>
      <c r="K36" t="s">
        <v>61</v>
      </c>
      <c r="L36" t="s">
        <v>28</v>
      </c>
      <c r="M36">
        <v>4.0999999999999996</v>
      </c>
      <c r="N36">
        <v>1</v>
      </c>
      <c r="O36" s="4">
        <v>16000</v>
      </c>
      <c r="P36">
        <f>Table1[[#This Row],[Price]]*Table1[[#This Row],[Sales_Quantity]]</f>
        <v>155000</v>
      </c>
    </row>
    <row r="37" spans="1:16" x14ac:dyDescent="0.3">
      <c r="A37" t="s">
        <v>121</v>
      </c>
      <c r="B37" s="6">
        <v>46168</v>
      </c>
      <c r="C37" t="s">
        <v>57</v>
      </c>
      <c r="D37" t="s">
        <v>58</v>
      </c>
      <c r="E37" t="s">
        <v>59</v>
      </c>
      <c r="F37" t="s">
        <v>60</v>
      </c>
      <c r="G37">
        <v>163</v>
      </c>
      <c r="H37">
        <v>48</v>
      </c>
      <c r="I37" s="4">
        <v>125000</v>
      </c>
      <c r="J37">
        <v>32</v>
      </c>
      <c r="K37" t="s">
        <v>47</v>
      </c>
      <c r="L37" t="s">
        <v>21</v>
      </c>
      <c r="M37">
        <v>4.5</v>
      </c>
      <c r="N37">
        <v>1</v>
      </c>
      <c r="O37" s="4">
        <v>14000</v>
      </c>
      <c r="P37">
        <f>Table1[[#This Row],[Price]]*Table1[[#This Row],[Sales_Quantity]]</f>
        <v>125000</v>
      </c>
    </row>
    <row r="38" spans="1:16" x14ac:dyDescent="0.3">
      <c r="A38" t="s">
        <v>122</v>
      </c>
      <c r="B38" s="6">
        <v>46172</v>
      </c>
      <c r="C38" t="s">
        <v>16</v>
      </c>
      <c r="D38" t="s">
        <v>53</v>
      </c>
      <c r="E38" t="s">
        <v>32</v>
      </c>
      <c r="F38" t="s">
        <v>72</v>
      </c>
      <c r="G38">
        <v>249</v>
      </c>
      <c r="H38">
        <v>32</v>
      </c>
      <c r="I38" s="4">
        <v>240000</v>
      </c>
      <c r="J38">
        <v>23</v>
      </c>
      <c r="K38" t="s">
        <v>20</v>
      </c>
      <c r="L38" t="s">
        <v>21</v>
      </c>
      <c r="M38">
        <v>4.5999999999999996</v>
      </c>
      <c r="N38">
        <v>1</v>
      </c>
      <c r="O38" s="4">
        <v>27000</v>
      </c>
      <c r="P38">
        <f>Table1[[#This Row],[Price]]*Table1[[#This Row],[Sales_Quantity]]</f>
        <v>240000</v>
      </c>
    </row>
    <row r="39" spans="1:16" x14ac:dyDescent="0.3">
      <c r="A39" t="s">
        <v>123</v>
      </c>
      <c r="B39" s="6">
        <v>46176</v>
      </c>
      <c r="C39" t="s">
        <v>23</v>
      </c>
      <c r="D39" t="s">
        <v>49</v>
      </c>
      <c r="E39" t="s">
        <v>18</v>
      </c>
      <c r="F39" t="s">
        <v>50</v>
      </c>
      <c r="G39">
        <v>349</v>
      </c>
      <c r="H39">
        <v>41</v>
      </c>
      <c r="I39" s="4">
        <v>195000</v>
      </c>
      <c r="J39">
        <v>35</v>
      </c>
      <c r="K39" t="s">
        <v>47</v>
      </c>
      <c r="L39" t="s">
        <v>41</v>
      </c>
      <c r="M39">
        <v>4.4000000000000004</v>
      </c>
      <c r="N39">
        <v>1</v>
      </c>
      <c r="O39" s="4">
        <v>21000</v>
      </c>
      <c r="P39">
        <f>Table1[[#This Row],[Price]]*Table1[[#This Row],[Sales_Quantity]]</f>
        <v>195000</v>
      </c>
    </row>
    <row r="40" spans="1:16" x14ac:dyDescent="0.3">
      <c r="A40" t="s">
        <v>124</v>
      </c>
      <c r="B40" s="6">
        <v>46180</v>
      </c>
      <c r="C40" t="s">
        <v>30</v>
      </c>
      <c r="D40" t="s">
        <v>31</v>
      </c>
      <c r="E40" t="s">
        <v>64</v>
      </c>
      <c r="F40" t="s">
        <v>65</v>
      </c>
      <c r="G40">
        <v>155</v>
      </c>
      <c r="H40">
        <v>45</v>
      </c>
      <c r="I40" s="4">
        <v>145000</v>
      </c>
      <c r="J40">
        <v>28</v>
      </c>
      <c r="K40" t="s">
        <v>66</v>
      </c>
      <c r="L40" t="s">
        <v>67</v>
      </c>
      <c r="M40">
        <v>4.5</v>
      </c>
      <c r="N40">
        <v>1</v>
      </c>
      <c r="O40" s="4">
        <v>16000</v>
      </c>
      <c r="P40">
        <f>Table1[[#This Row],[Price]]*Table1[[#This Row],[Sales_Quantity]]</f>
        <v>145000</v>
      </c>
    </row>
    <row r="41" spans="1:16" x14ac:dyDescent="0.3">
      <c r="A41" t="s">
        <v>125</v>
      </c>
      <c r="B41" s="6">
        <v>46184</v>
      </c>
      <c r="C41" t="s">
        <v>16</v>
      </c>
      <c r="D41" t="s">
        <v>69</v>
      </c>
      <c r="E41" t="s">
        <v>18</v>
      </c>
      <c r="F41" t="s">
        <v>19</v>
      </c>
      <c r="G41">
        <v>452</v>
      </c>
      <c r="H41">
        <v>29</v>
      </c>
      <c r="I41" s="4">
        <v>260000</v>
      </c>
      <c r="J41">
        <v>30</v>
      </c>
      <c r="K41" t="s">
        <v>76</v>
      </c>
      <c r="L41" t="s">
        <v>21</v>
      </c>
      <c r="M41">
        <v>4.7</v>
      </c>
      <c r="N41">
        <v>1</v>
      </c>
      <c r="O41" s="4">
        <v>30000</v>
      </c>
      <c r="P41">
        <f>Table1[[#This Row],[Price]]*Table1[[#This Row],[Sales_Quantity]]</f>
        <v>260000</v>
      </c>
    </row>
    <row r="42" spans="1:16" x14ac:dyDescent="0.3">
      <c r="A42" t="s">
        <v>126</v>
      </c>
      <c r="B42" s="6">
        <v>46188</v>
      </c>
      <c r="C42" t="s">
        <v>36</v>
      </c>
      <c r="D42" t="s">
        <v>74</v>
      </c>
      <c r="E42" t="s">
        <v>38</v>
      </c>
      <c r="F42" t="s">
        <v>108</v>
      </c>
      <c r="G42">
        <v>184</v>
      </c>
      <c r="H42">
        <v>42</v>
      </c>
      <c r="I42" s="4">
        <v>145000</v>
      </c>
      <c r="J42">
        <v>26</v>
      </c>
      <c r="K42" t="s">
        <v>34</v>
      </c>
      <c r="L42" t="s">
        <v>28</v>
      </c>
      <c r="M42">
        <v>4.2</v>
      </c>
      <c r="N42">
        <v>1</v>
      </c>
      <c r="O42" s="4">
        <v>15000</v>
      </c>
      <c r="P42">
        <f>Table1[[#This Row],[Price]]*Table1[[#This Row],[Sales_Quantity]]</f>
        <v>145000</v>
      </c>
    </row>
    <row r="43" spans="1:16" x14ac:dyDescent="0.3">
      <c r="A43" t="s">
        <v>127</v>
      </c>
      <c r="B43" s="6">
        <v>46192</v>
      </c>
      <c r="C43" t="s">
        <v>43</v>
      </c>
      <c r="D43" t="s">
        <v>78</v>
      </c>
      <c r="E43" t="s">
        <v>25</v>
      </c>
      <c r="F43" t="s">
        <v>26</v>
      </c>
      <c r="G43">
        <v>155</v>
      </c>
      <c r="H43">
        <v>48</v>
      </c>
      <c r="I43" s="4">
        <v>175000</v>
      </c>
      <c r="J43">
        <v>22</v>
      </c>
      <c r="K43" t="s">
        <v>27</v>
      </c>
      <c r="L43" t="s">
        <v>21</v>
      </c>
      <c r="M43">
        <v>4.4000000000000004</v>
      </c>
      <c r="N43">
        <v>1</v>
      </c>
      <c r="O43" s="4">
        <v>19000</v>
      </c>
      <c r="P43">
        <f>Table1[[#This Row],[Price]]*Table1[[#This Row],[Sales_Quantity]]</f>
        <v>175000</v>
      </c>
    </row>
    <row r="44" spans="1:16" x14ac:dyDescent="0.3">
      <c r="A44" t="s">
        <v>128</v>
      </c>
      <c r="B44" s="6">
        <v>46196</v>
      </c>
      <c r="C44" t="s">
        <v>23</v>
      </c>
      <c r="D44" t="s">
        <v>24</v>
      </c>
      <c r="E44" t="s">
        <v>45</v>
      </c>
      <c r="F44" t="s">
        <v>105</v>
      </c>
      <c r="G44">
        <v>373</v>
      </c>
      <c r="H44">
        <v>30</v>
      </c>
      <c r="I44" s="4">
        <v>245000</v>
      </c>
      <c r="J44">
        <v>33</v>
      </c>
      <c r="K44" t="s">
        <v>47</v>
      </c>
      <c r="L44" t="s">
        <v>21</v>
      </c>
      <c r="M44">
        <v>4.5999999999999996</v>
      </c>
      <c r="N44">
        <v>1</v>
      </c>
      <c r="O44" s="4">
        <v>28000</v>
      </c>
      <c r="P44">
        <f>Table1[[#This Row],[Price]]*Table1[[#This Row],[Sales_Quantity]]</f>
        <v>245000</v>
      </c>
    </row>
    <row r="45" spans="1:16" x14ac:dyDescent="0.3">
      <c r="A45" t="s">
        <v>129</v>
      </c>
      <c r="B45" s="6">
        <v>46200</v>
      </c>
      <c r="C45" t="s">
        <v>16</v>
      </c>
      <c r="D45" t="s">
        <v>81</v>
      </c>
      <c r="E45" t="s">
        <v>54</v>
      </c>
      <c r="F45" t="s">
        <v>75</v>
      </c>
      <c r="G45">
        <v>225</v>
      </c>
      <c r="H45">
        <v>42</v>
      </c>
      <c r="I45" s="4">
        <v>165000</v>
      </c>
      <c r="J45">
        <v>31</v>
      </c>
      <c r="K45" t="s">
        <v>40</v>
      </c>
      <c r="L45" t="s">
        <v>41</v>
      </c>
      <c r="M45">
        <v>4.3</v>
      </c>
      <c r="N45">
        <v>1</v>
      </c>
      <c r="O45" s="4">
        <v>18000</v>
      </c>
      <c r="P45">
        <f>Table1[[#This Row],[Price]]*Table1[[#This Row],[Sales_Quantity]]</f>
        <v>165000</v>
      </c>
    </row>
    <row r="46" spans="1:16" x14ac:dyDescent="0.3">
      <c r="A46" t="s">
        <v>130</v>
      </c>
      <c r="B46" s="6">
        <v>46204</v>
      </c>
      <c r="C46" t="s">
        <v>57</v>
      </c>
      <c r="D46" t="s">
        <v>91</v>
      </c>
      <c r="E46" t="s">
        <v>18</v>
      </c>
      <c r="F46" t="s">
        <v>94</v>
      </c>
      <c r="G46">
        <v>349</v>
      </c>
      <c r="H46">
        <v>41</v>
      </c>
      <c r="I46" s="4">
        <v>205000</v>
      </c>
      <c r="J46">
        <v>36</v>
      </c>
      <c r="K46" t="s">
        <v>89</v>
      </c>
      <c r="L46" t="s">
        <v>21</v>
      </c>
      <c r="M46">
        <v>4.5</v>
      </c>
      <c r="N46">
        <v>1</v>
      </c>
      <c r="O46" s="4">
        <v>23000</v>
      </c>
      <c r="P46">
        <f>Table1[[#This Row],[Price]]*Table1[[#This Row],[Sales_Quantity]]</f>
        <v>205000</v>
      </c>
    </row>
    <row r="47" spans="1:16" x14ac:dyDescent="0.3">
      <c r="A47" t="s">
        <v>131</v>
      </c>
      <c r="B47" s="6">
        <v>46208</v>
      </c>
      <c r="C47" t="s">
        <v>30</v>
      </c>
      <c r="D47" t="s">
        <v>101</v>
      </c>
      <c r="E47" t="s">
        <v>32</v>
      </c>
      <c r="F47" t="s">
        <v>33</v>
      </c>
      <c r="G47">
        <v>399</v>
      </c>
      <c r="H47">
        <v>30</v>
      </c>
      <c r="I47" s="4">
        <v>305000</v>
      </c>
      <c r="J47">
        <v>27</v>
      </c>
      <c r="K47" t="s">
        <v>34</v>
      </c>
      <c r="L47" t="s">
        <v>21</v>
      </c>
      <c r="M47">
        <v>4.7</v>
      </c>
      <c r="N47">
        <v>1</v>
      </c>
      <c r="O47" s="4">
        <v>33000</v>
      </c>
      <c r="P47">
        <f>Table1[[#This Row],[Price]]*Table1[[#This Row],[Sales_Quantity]]</f>
        <v>305000</v>
      </c>
    </row>
    <row r="48" spans="1:16" x14ac:dyDescent="0.3">
      <c r="A48" t="s">
        <v>132</v>
      </c>
      <c r="B48" s="6">
        <v>46212</v>
      </c>
      <c r="C48" t="s">
        <v>16</v>
      </c>
      <c r="D48" t="s">
        <v>17</v>
      </c>
      <c r="E48" t="s">
        <v>38</v>
      </c>
      <c r="F48" t="s">
        <v>88</v>
      </c>
      <c r="G48">
        <v>162</v>
      </c>
      <c r="H48">
        <v>50</v>
      </c>
      <c r="I48" s="4">
        <v>115000</v>
      </c>
      <c r="J48">
        <v>39</v>
      </c>
      <c r="K48" t="s">
        <v>89</v>
      </c>
      <c r="L48" t="s">
        <v>41</v>
      </c>
      <c r="M48">
        <v>4.0999999999999996</v>
      </c>
      <c r="N48">
        <v>1</v>
      </c>
      <c r="O48" s="4">
        <v>13000</v>
      </c>
      <c r="P48">
        <f>Table1[[#This Row],[Price]]*Table1[[#This Row],[Sales_Quantity]]</f>
        <v>115000</v>
      </c>
    </row>
    <row r="49" spans="1:16" x14ac:dyDescent="0.3">
      <c r="A49" t="s">
        <v>133</v>
      </c>
      <c r="B49" s="6">
        <v>46216</v>
      </c>
      <c r="C49" t="s">
        <v>23</v>
      </c>
      <c r="D49" t="s">
        <v>24</v>
      </c>
      <c r="E49" t="s">
        <v>25</v>
      </c>
      <c r="F49" t="s">
        <v>99</v>
      </c>
      <c r="G49">
        <v>149</v>
      </c>
      <c r="H49">
        <v>49</v>
      </c>
      <c r="I49" s="4">
        <v>125000</v>
      </c>
      <c r="J49">
        <v>25</v>
      </c>
      <c r="K49" t="s">
        <v>61</v>
      </c>
      <c r="L49" t="s">
        <v>28</v>
      </c>
      <c r="M49">
        <v>4</v>
      </c>
      <c r="N49">
        <v>1</v>
      </c>
      <c r="O49" s="4">
        <v>14000</v>
      </c>
      <c r="P49">
        <f>Table1[[#This Row],[Price]]*Table1[[#This Row],[Sales_Quantity]]</f>
        <v>125000</v>
      </c>
    </row>
    <row r="50" spans="1:16" x14ac:dyDescent="0.3">
      <c r="A50" t="s">
        <v>134</v>
      </c>
      <c r="B50" s="6">
        <v>46220</v>
      </c>
      <c r="C50" t="s">
        <v>36</v>
      </c>
      <c r="D50" t="s">
        <v>107</v>
      </c>
      <c r="E50" t="s">
        <v>59</v>
      </c>
      <c r="F50" t="s">
        <v>102</v>
      </c>
      <c r="G50">
        <v>199</v>
      </c>
      <c r="H50">
        <v>40</v>
      </c>
      <c r="I50" s="4">
        <v>155000</v>
      </c>
      <c r="J50">
        <v>29</v>
      </c>
      <c r="K50" t="s">
        <v>103</v>
      </c>
      <c r="L50" t="s">
        <v>67</v>
      </c>
      <c r="M50">
        <v>4.4000000000000004</v>
      </c>
      <c r="N50">
        <v>1</v>
      </c>
      <c r="O50" s="4">
        <v>17000</v>
      </c>
      <c r="P50">
        <f>Table1[[#This Row],[Price]]*Table1[[#This Row],[Sales_Quantity]]</f>
        <v>155000</v>
      </c>
    </row>
    <row r="51" spans="1:16" x14ac:dyDescent="0.3">
      <c r="A51" t="s">
        <v>135</v>
      </c>
      <c r="B51" s="6">
        <v>46224</v>
      </c>
      <c r="C51" t="s">
        <v>43</v>
      </c>
      <c r="D51" t="s">
        <v>96</v>
      </c>
      <c r="E51" t="s">
        <v>18</v>
      </c>
      <c r="F51" t="s">
        <v>84</v>
      </c>
      <c r="G51">
        <v>648</v>
      </c>
      <c r="H51">
        <v>23</v>
      </c>
      <c r="I51" s="4">
        <v>320000</v>
      </c>
      <c r="J51">
        <v>34</v>
      </c>
      <c r="K51" t="s">
        <v>47</v>
      </c>
      <c r="L51" t="s">
        <v>21</v>
      </c>
      <c r="M51">
        <v>4.8</v>
      </c>
      <c r="N51">
        <v>1</v>
      </c>
      <c r="O51" s="4">
        <v>36000</v>
      </c>
      <c r="P51">
        <f>Table1[[#This Row],[Price]]*Table1[[#This Row],[Sales_Quantity]]</f>
        <v>320000</v>
      </c>
    </row>
    <row r="52" spans="1:16" x14ac:dyDescent="0.3">
      <c r="A52" t="s">
        <v>136</v>
      </c>
      <c r="B52" s="6">
        <v>46228</v>
      </c>
      <c r="C52" t="s">
        <v>16</v>
      </c>
      <c r="D52" t="s">
        <v>69</v>
      </c>
      <c r="E52" t="s">
        <v>45</v>
      </c>
      <c r="F52" t="s">
        <v>82</v>
      </c>
      <c r="G52">
        <v>149</v>
      </c>
      <c r="H52">
        <v>47</v>
      </c>
      <c r="I52" s="4">
        <v>115000</v>
      </c>
      <c r="J52">
        <v>23</v>
      </c>
      <c r="K52" t="s">
        <v>27</v>
      </c>
      <c r="L52" t="s">
        <v>28</v>
      </c>
      <c r="M52">
        <v>4.2</v>
      </c>
      <c r="N52">
        <v>2</v>
      </c>
      <c r="O52" s="4">
        <v>25000</v>
      </c>
      <c r="P52">
        <f>Table1[[#This Row],[Price]]*Table1[[#This Row],[Sales_Quantity]]</f>
        <v>230000</v>
      </c>
    </row>
    <row r="53" spans="1:16" x14ac:dyDescent="0.3">
      <c r="A53" t="s">
        <v>137</v>
      </c>
      <c r="B53" s="6">
        <v>46232</v>
      </c>
      <c r="C53" t="s">
        <v>30</v>
      </c>
      <c r="D53" t="s">
        <v>31</v>
      </c>
      <c r="E53" t="s">
        <v>54</v>
      </c>
      <c r="F53" t="s">
        <v>97</v>
      </c>
      <c r="G53">
        <v>159</v>
      </c>
      <c r="H53">
        <v>47</v>
      </c>
      <c r="I53" s="4">
        <v>135000</v>
      </c>
      <c r="J53">
        <v>28</v>
      </c>
      <c r="K53" t="s">
        <v>20</v>
      </c>
      <c r="L53" t="s">
        <v>21</v>
      </c>
      <c r="M53">
        <v>4.3</v>
      </c>
      <c r="N53">
        <v>1</v>
      </c>
      <c r="O53" s="4">
        <v>15000</v>
      </c>
      <c r="P53">
        <f>Table1[[#This Row],[Price]]*Table1[[#This Row],[Sales_Quantity]]</f>
        <v>135000</v>
      </c>
    </row>
    <row r="54" spans="1:16" x14ac:dyDescent="0.3">
      <c r="A54" t="s">
        <v>138</v>
      </c>
      <c r="B54" s="6">
        <v>46236</v>
      </c>
      <c r="C54" t="s">
        <v>23</v>
      </c>
      <c r="D54" t="s">
        <v>49</v>
      </c>
      <c r="E54" t="s">
        <v>38</v>
      </c>
      <c r="F54" t="s">
        <v>39</v>
      </c>
      <c r="G54">
        <v>123</v>
      </c>
      <c r="H54">
        <v>55</v>
      </c>
      <c r="I54" s="4">
        <v>90000</v>
      </c>
      <c r="J54">
        <v>37</v>
      </c>
      <c r="K54" t="s">
        <v>40</v>
      </c>
      <c r="L54" t="s">
        <v>41</v>
      </c>
      <c r="M54">
        <v>4</v>
      </c>
      <c r="N54">
        <v>1</v>
      </c>
      <c r="O54" s="4">
        <v>10000</v>
      </c>
      <c r="P54">
        <f>Table1[[#This Row],[Price]]*Table1[[#This Row],[Sales_Quantity]]</f>
        <v>90000</v>
      </c>
    </row>
    <row r="55" spans="1:16" x14ac:dyDescent="0.3">
      <c r="A55" t="s">
        <v>139</v>
      </c>
      <c r="B55" s="6">
        <v>46238</v>
      </c>
      <c r="C55" t="s">
        <v>16</v>
      </c>
      <c r="D55" t="s">
        <v>53</v>
      </c>
      <c r="E55" t="s">
        <v>18</v>
      </c>
      <c r="F55" t="s">
        <v>70</v>
      </c>
      <c r="G55">
        <v>349</v>
      </c>
      <c r="H55">
        <v>36</v>
      </c>
      <c r="I55" s="4">
        <v>175000</v>
      </c>
      <c r="J55">
        <v>27</v>
      </c>
      <c r="K55" t="s">
        <v>47</v>
      </c>
      <c r="L55" t="s">
        <v>21</v>
      </c>
      <c r="M55">
        <v>4.5999999999999996</v>
      </c>
      <c r="N55">
        <v>1</v>
      </c>
      <c r="O55" s="4">
        <v>20000</v>
      </c>
      <c r="P55">
        <f>Table1[[#This Row],[Price]]*Table1[[#This Row],[Sales_Quantity]]</f>
        <v>175000</v>
      </c>
    </row>
    <row r="56" spans="1:16" x14ac:dyDescent="0.3">
      <c r="A56" t="s">
        <v>140</v>
      </c>
      <c r="B56" s="6">
        <v>46240</v>
      </c>
      <c r="C56" t="s">
        <v>57</v>
      </c>
      <c r="D56" t="s">
        <v>58</v>
      </c>
      <c r="E56" t="s">
        <v>25</v>
      </c>
      <c r="F56" t="s">
        <v>26</v>
      </c>
      <c r="G56">
        <v>155</v>
      </c>
      <c r="H56">
        <v>48</v>
      </c>
      <c r="I56" s="4">
        <v>175000</v>
      </c>
      <c r="J56">
        <v>24</v>
      </c>
      <c r="K56" t="s">
        <v>34</v>
      </c>
      <c r="L56" t="s">
        <v>28</v>
      </c>
      <c r="M56">
        <v>4.5</v>
      </c>
      <c r="N56">
        <v>1</v>
      </c>
      <c r="O56" s="4">
        <v>19000</v>
      </c>
      <c r="P56">
        <f>Table1[[#This Row],[Price]]*Table1[[#This Row],[Sales_Quantity]]</f>
        <v>175000</v>
      </c>
    </row>
    <row r="57" spans="1:16" x14ac:dyDescent="0.3">
      <c r="A57" t="s">
        <v>141</v>
      </c>
      <c r="B57" s="6">
        <v>46242</v>
      </c>
      <c r="C57" t="s">
        <v>43</v>
      </c>
      <c r="D57" t="s">
        <v>44</v>
      </c>
      <c r="E57" t="s">
        <v>32</v>
      </c>
      <c r="F57" t="s">
        <v>92</v>
      </c>
      <c r="G57">
        <v>373</v>
      </c>
      <c r="H57">
        <v>28</v>
      </c>
      <c r="I57" s="4">
        <v>340000</v>
      </c>
      <c r="J57">
        <v>31</v>
      </c>
      <c r="K57" t="s">
        <v>47</v>
      </c>
      <c r="L57" t="s">
        <v>21</v>
      </c>
      <c r="M57">
        <v>4.7</v>
      </c>
      <c r="N57">
        <v>1</v>
      </c>
      <c r="O57" s="4">
        <v>38000</v>
      </c>
      <c r="P57">
        <f>Table1[[#This Row],[Price]]*Table1[[#This Row],[Sales_Quantity]]</f>
        <v>340000</v>
      </c>
    </row>
    <row r="58" spans="1:16" x14ac:dyDescent="0.3">
      <c r="A58" t="s">
        <v>142</v>
      </c>
      <c r="B58" s="6">
        <v>46244</v>
      </c>
      <c r="C58" t="s">
        <v>36</v>
      </c>
      <c r="D58" t="s">
        <v>37</v>
      </c>
      <c r="E58" t="s">
        <v>18</v>
      </c>
      <c r="F58" t="s">
        <v>50</v>
      </c>
      <c r="G58">
        <v>349</v>
      </c>
      <c r="H58">
        <v>41</v>
      </c>
      <c r="I58" s="4">
        <v>195000</v>
      </c>
      <c r="J58">
        <v>30</v>
      </c>
      <c r="K58" t="s">
        <v>76</v>
      </c>
      <c r="L58" t="s">
        <v>67</v>
      </c>
      <c r="M58">
        <v>4.4000000000000004</v>
      </c>
      <c r="N58">
        <v>1</v>
      </c>
      <c r="O58" s="4">
        <v>22000</v>
      </c>
      <c r="P58">
        <f>Table1[[#This Row],[Price]]*Table1[[#This Row],[Sales_Quantity]]</f>
        <v>195000</v>
      </c>
    </row>
    <row r="59" spans="1:16" x14ac:dyDescent="0.3">
      <c r="A59" t="s">
        <v>143</v>
      </c>
      <c r="B59" s="6">
        <v>46245</v>
      </c>
      <c r="C59" t="s">
        <v>16</v>
      </c>
      <c r="D59" t="s">
        <v>81</v>
      </c>
      <c r="E59" t="s">
        <v>38</v>
      </c>
      <c r="F59" t="s">
        <v>79</v>
      </c>
      <c r="G59">
        <v>124</v>
      </c>
      <c r="H59">
        <v>60</v>
      </c>
      <c r="I59" s="4">
        <v>105000</v>
      </c>
      <c r="J59">
        <v>21</v>
      </c>
      <c r="K59" t="s">
        <v>27</v>
      </c>
      <c r="L59" t="s">
        <v>28</v>
      </c>
      <c r="M59">
        <v>4.0999999999999996</v>
      </c>
      <c r="N59">
        <v>1</v>
      </c>
      <c r="O59" s="4">
        <v>12000</v>
      </c>
      <c r="P59">
        <f>Table1[[#This Row],[Price]]*Table1[[#This Row],[Sales_Quantity]]</f>
        <v>105000</v>
      </c>
    </row>
    <row r="60" spans="1:16" x14ac:dyDescent="0.3">
      <c r="A60" t="s">
        <v>144</v>
      </c>
      <c r="B60" s="6">
        <v>46246</v>
      </c>
      <c r="C60" t="s">
        <v>23</v>
      </c>
      <c r="D60" t="s">
        <v>24</v>
      </c>
      <c r="E60" t="s">
        <v>54</v>
      </c>
      <c r="F60" t="s">
        <v>75</v>
      </c>
      <c r="G60">
        <v>225</v>
      </c>
      <c r="H60">
        <v>42</v>
      </c>
      <c r="I60" s="4">
        <v>165000</v>
      </c>
      <c r="J60">
        <v>26</v>
      </c>
      <c r="K60" t="s">
        <v>20</v>
      </c>
      <c r="L60" t="s">
        <v>21</v>
      </c>
      <c r="M60">
        <v>4.5999999999999996</v>
      </c>
      <c r="N60">
        <v>1</v>
      </c>
      <c r="O60" s="4">
        <v>18000</v>
      </c>
      <c r="P60">
        <f>Table1[[#This Row],[Price]]*Table1[[#This Row],[Sales_Quantity]]</f>
        <v>165000</v>
      </c>
    </row>
    <row r="61" spans="1:16" x14ac:dyDescent="0.3">
      <c r="A61" t="s">
        <v>145</v>
      </c>
      <c r="B61" s="6">
        <v>46247</v>
      </c>
      <c r="C61" t="s">
        <v>30</v>
      </c>
      <c r="D61" t="s">
        <v>63</v>
      </c>
      <c r="E61" t="s">
        <v>18</v>
      </c>
      <c r="F61" t="s">
        <v>19</v>
      </c>
      <c r="G61">
        <v>452</v>
      </c>
      <c r="H61">
        <v>29</v>
      </c>
      <c r="I61" s="4">
        <v>260000</v>
      </c>
      <c r="J61">
        <v>32</v>
      </c>
      <c r="K61" t="s">
        <v>47</v>
      </c>
      <c r="L61" t="s">
        <v>21</v>
      </c>
      <c r="M61">
        <v>4.8</v>
      </c>
      <c r="N61">
        <v>1</v>
      </c>
      <c r="O61" s="4">
        <v>30000</v>
      </c>
      <c r="P61">
        <f>Table1[[#This Row],[Price]]*Table1[[#This Row],[Sales_Quantity]]</f>
        <v>260000</v>
      </c>
    </row>
    <row r="62" spans="1:16" x14ac:dyDescent="0.3">
      <c r="A62" t="s">
        <v>146</v>
      </c>
      <c r="B62" s="6">
        <v>46248</v>
      </c>
      <c r="C62" t="s">
        <v>16</v>
      </c>
      <c r="D62" t="s">
        <v>17</v>
      </c>
      <c r="E62" t="s">
        <v>18</v>
      </c>
      <c r="F62" t="s">
        <v>70</v>
      </c>
      <c r="G62">
        <v>349</v>
      </c>
      <c r="H62">
        <v>36</v>
      </c>
      <c r="I62" s="4">
        <v>175000</v>
      </c>
      <c r="J62">
        <v>28</v>
      </c>
      <c r="K62" t="s">
        <v>20</v>
      </c>
      <c r="L62" t="s">
        <v>21</v>
      </c>
      <c r="M62">
        <v>4.5</v>
      </c>
      <c r="N62">
        <v>2</v>
      </c>
      <c r="O62" s="4">
        <v>40000</v>
      </c>
      <c r="P62">
        <f>Table1[[#This Row],[Price]]*Table1[[#This Row],[Sales_Quantity]]</f>
        <v>350000</v>
      </c>
    </row>
    <row r="63" spans="1:16" x14ac:dyDescent="0.3">
      <c r="A63" t="s">
        <v>147</v>
      </c>
      <c r="B63" s="6">
        <v>46249</v>
      </c>
      <c r="C63" t="s">
        <v>23</v>
      </c>
      <c r="D63" t="s">
        <v>24</v>
      </c>
      <c r="E63" t="s">
        <v>25</v>
      </c>
      <c r="F63" t="s">
        <v>86</v>
      </c>
      <c r="G63">
        <v>155</v>
      </c>
      <c r="H63">
        <v>45</v>
      </c>
      <c r="I63" s="4">
        <v>205000</v>
      </c>
      <c r="J63">
        <v>23</v>
      </c>
      <c r="K63" t="s">
        <v>27</v>
      </c>
      <c r="L63" t="s">
        <v>28</v>
      </c>
      <c r="M63">
        <v>4.3</v>
      </c>
      <c r="N63">
        <v>1</v>
      </c>
      <c r="O63" s="4">
        <v>22000</v>
      </c>
      <c r="P63">
        <f>Table1[[#This Row],[Price]]*Table1[[#This Row],[Sales_Quantity]]</f>
        <v>205000</v>
      </c>
    </row>
    <row r="64" spans="1:16" x14ac:dyDescent="0.3">
      <c r="A64" t="s">
        <v>148</v>
      </c>
      <c r="B64" s="6">
        <v>46250</v>
      </c>
      <c r="C64" t="s">
        <v>30</v>
      </c>
      <c r="D64" t="s">
        <v>31</v>
      </c>
      <c r="E64" t="s">
        <v>32</v>
      </c>
      <c r="F64" t="s">
        <v>33</v>
      </c>
      <c r="G64">
        <v>399</v>
      </c>
      <c r="H64">
        <v>30</v>
      </c>
      <c r="I64" s="4">
        <v>305000</v>
      </c>
      <c r="J64">
        <v>29</v>
      </c>
      <c r="K64" t="s">
        <v>34</v>
      </c>
      <c r="L64" t="s">
        <v>21</v>
      </c>
      <c r="M64">
        <v>4.7</v>
      </c>
      <c r="N64">
        <v>1</v>
      </c>
      <c r="O64" s="4">
        <v>33000</v>
      </c>
      <c r="P64">
        <f>Table1[[#This Row],[Price]]*Table1[[#This Row],[Sales_Quantity]]</f>
        <v>305000</v>
      </c>
    </row>
    <row r="65" spans="1:16" x14ac:dyDescent="0.3">
      <c r="A65" t="s">
        <v>149</v>
      </c>
      <c r="B65" s="6">
        <v>46251</v>
      </c>
      <c r="C65" t="s">
        <v>36</v>
      </c>
      <c r="D65" t="s">
        <v>37</v>
      </c>
      <c r="E65" t="s">
        <v>38</v>
      </c>
      <c r="F65" t="s">
        <v>39</v>
      </c>
      <c r="G65">
        <v>123</v>
      </c>
      <c r="H65">
        <v>55</v>
      </c>
      <c r="I65" s="4">
        <v>90000</v>
      </c>
      <c r="J65">
        <v>34</v>
      </c>
      <c r="K65" t="s">
        <v>40</v>
      </c>
      <c r="L65" t="s">
        <v>41</v>
      </c>
      <c r="M65">
        <v>4.0999999999999996</v>
      </c>
      <c r="N65">
        <v>2</v>
      </c>
      <c r="O65" s="4">
        <v>21000</v>
      </c>
      <c r="P65">
        <f>Table1[[#This Row],[Price]]*Table1[[#This Row],[Sales_Quantity]]</f>
        <v>180000</v>
      </c>
    </row>
    <row r="66" spans="1:16" x14ac:dyDescent="0.3">
      <c r="A66" t="s">
        <v>150</v>
      </c>
      <c r="B66" s="6">
        <v>46252</v>
      </c>
      <c r="C66" t="s">
        <v>43</v>
      </c>
      <c r="D66" t="s">
        <v>44</v>
      </c>
      <c r="E66" t="s">
        <v>45</v>
      </c>
      <c r="F66" t="s">
        <v>46</v>
      </c>
      <c r="G66">
        <v>199</v>
      </c>
      <c r="H66">
        <v>40</v>
      </c>
      <c r="I66" s="4">
        <v>155000</v>
      </c>
      <c r="J66">
        <v>26</v>
      </c>
      <c r="K66" t="s">
        <v>47</v>
      </c>
      <c r="L66" t="s">
        <v>21</v>
      </c>
      <c r="M66">
        <v>4.4000000000000004</v>
      </c>
      <c r="N66">
        <v>1</v>
      </c>
      <c r="O66" s="4">
        <v>17000</v>
      </c>
      <c r="P66">
        <f>Table1[[#This Row],[Price]]*Table1[[#This Row],[Sales_Quantity]]</f>
        <v>155000</v>
      </c>
    </row>
    <row r="67" spans="1:16" x14ac:dyDescent="0.3">
      <c r="A67" t="s">
        <v>151</v>
      </c>
      <c r="B67" s="6">
        <v>46253</v>
      </c>
      <c r="C67" t="s">
        <v>57</v>
      </c>
      <c r="D67" t="s">
        <v>58</v>
      </c>
      <c r="E67" t="s">
        <v>54</v>
      </c>
      <c r="F67" t="s">
        <v>55</v>
      </c>
      <c r="G67">
        <v>197</v>
      </c>
      <c r="H67">
        <v>38</v>
      </c>
      <c r="I67" s="4">
        <v>155000</v>
      </c>
      <c r="J67">
        <v>31</v>
      </c>
      <c r="K67" t="s">
        <v>76</v>
      </c>
      <c r="L67" t="s">
        <v>67</v>
      </c>
      <c r="M67">
        <v>4.5</v>
      </c>
      <c r="N67">
        <v>1</v>
      </c>
      <c r="O67" s="4">
        <v>17000</v>
      </c>
      <c r="P67">
        <f>Table1[[#This Row],[Price]]*Table1[[#This Row],[Sales_Quantity]]</f>
        <v>155000</v>
      </c>
    </row>
    <row r="68" spans="1:16" x14ac:dyDescent="0.3">
      <c r="A68" t="s">
        <v>152</v>
      </c>
      <c r="B68" s="6">
        <v>46254</v>
      </c>
      <c r="C68" t="s">
        <v>16</v>
      </c>
      <c r="D68" t="s">
        <v>53</v>
      </c>
      <c r="E68" t="s">
        <v>18</v>
      </c>
      <c r="F68" t="s">
        <v>19</v>
      </c>
      <c r="G68">
        <v>452</v>
      </c>
      <c r="H68">
        <v>29</v>
      </c>
      <c r="I68" s="4">
        <v>260000</v>
      </c>
      <c r="J68">
        <v>25</v>
      </c>
      <c r="K68" t="s">
        <v>20</v>
      </c>
      <c r="L68" t="s">
        <v>21</v>
      </c>
      <c r="M68">
        <v>4.8</v>
      </c>
      <c r="N68">
        <v>1</v>
      </c>
      <c r="O68" s="4">
        <v>30000</v>
      </c>
      <c r="P68">
        <f>Table1[[#This Row],[Price]]*Table1[[#This Row],[Sales_Quantity]]</f>
        <v>260000</v>
      </c>
    </row>
    <row r="69" spans="1:16" x14ac:dyDescent="0.3">
      <c r="A69" t="s">
        <v>153</v>
      </c>
      <c r="B69" s="6">
        <v>46255</v>
      </c>
      <c r="C69" t="s">
        <v>23</v>
      </c>
      <c r="D69" t="s">
        <v>49</v>
      </c>
      <c r="E69" t="s">
        <v>59</v>
      </c>
      <c r="F69" t="s">
        <v>60</v>
      </c>
      <c r="G69">
        <v>163</v>
      </c>
      <c r="H69">
        <v>48</v>
      </c>
      <c r="I69" s="4">
        <v>125000</v>
      </c>
      <c r="J69">
        <v>27</v>
      </c>
      <c r="K69" t="s">
        <v>61</v>
      </c>
      <c r="L69" t="s">
        <v>28</v>
      </c>
      <c r="M69">
        <v>4</v>
      </c>
      <c r="N69">
        <v>2</v>
      </c>
      <c r="O69" s="4">
        <v>28000</v>
      </c>
      <c r="P69">
        <f>Table1[[#This Row],[Price]]*Table1[[#This Row],[Sales_Quantity]]</f>
        <v>250000</v>
      </c>
    </row>
    <row r="70" spans="1:16" x14ac:dyDescent="0.3">
      <c r="A70" t="s">
        <v>154</v>
      </c>
      <c r="B70" s="6">
        <v>46256</v>
      </c>
      <c r="C70" t="s">
        <v>30</v>
      </c>
      <c r="D70" t="s">
        <v>63</v>
      </c>
      <c r="E70" t="s">
        <v>64</v>
      </c>
      <c r="F70" t="s">
        <v>65</v>
      </c>
      <c r="G70">
        <v>155</v>
      </c>
      <c r="H70">
        <v>45</v>
      </c>
      <c r="I70" s="4">
        <v>145000</v>
      </c>
      <c r="J70">
        <v>33</v>
      </c>
      <c r="K70" t="s">
        <v>66</v>
      </c>
      <c r="L70" t="s">
        <v>67</v>
      </c>
      <c r="M70">
        <v>4.5999999999999996</v>
      </c>
      <c r="N70">
        <v>1</v>
      </c>
      <c r="O70" s="4">
        <v>16000</v>
      </c>
      <c r="P70">
        <f>Table1[[#This Row],[Price]]*Table1[[#This Row],[Sales_Quantity]]</f>
        <v>145000</v>
      </c>
    </row>
    <row r="71" spans="1:16" x14ac:dyDescent="0.3">
      <c r="A71" t="s">
        <v>155</v>
      </c>
      <c r="B71" s="6">
        <v>46257</v>
      </c>
      <c r="C71" t="s">
        <v>16</v>
      </c>
      <c r="D71" t="s">
        <v>69</v>
      </c>
      <c r="E71" t="s">
        <v>18</v>
      </c>
      <c r="F71" t="s">
        <v>50</v>
      </c>
      <c r="G71">
        <v>349</v>
      </c>
      <c r="H71">
        <v>41</v>
      </c>
      <c r="I71" s="4">
        <v>195000</v>
      </c>
      <c r="J71">
        <v>30</v>
      </c>
      <c r="K71" t="s">
        <v>47</v>
      </c>
      <c r="L71" t="s">
        <v>21</v>
      </c>
      <c r="M71">
        <v>4.5</v>
      </c>
      <c r="N71">
        <v>1</v>
      </c>
      <c r="O71" s="4">
        <v>22000</v>
      </c>
      <c r="P71">
        <f>Table1[[#This Row],[Price]]*Table1[[#This Row],[Sales_Quantity]]</f>
        <v>195000</v>
      </c>
    </row>
    <row r="72" spans="1:16" x14ac:dyDescent="0.3">
      <c r="A72" t="s">
        <v>156</v>
      </c>
      <c r="B72" s="6">
        <v>46258</v>
      </c>
      <c r="C72" t="s">
        <v>36</v>
      </c>
      <c r="D72" t="s">
        <v>74</v>
      </c>
      <c r="E72" t="s">
        <v>32</v>
      </c>
      <c r="F72" t="s">
        <v>72</v>
      </c>
      <c r="G72">
        <v>249</v>
      </c>
      <c r="H72">
        <v>32</v>
      </c>
      <c r="I72" s="4">
        <v>240000</v>
      </c>
      <c r="J72">
        <v>24</v>
      </c>
      <c r="K72" t="s">
        <v>34</v>
      </c>
      <c r="L72" t="s">
        <v>21</v>
      </c>
      <c r="M72">
        <v>4.4000000000000004</v>
      </c>
      <c r="N72">
        <v>1</v>
      </c>
      <c r="O72" s="4">
        <v>26000</v>
      </c>
      <c r="P72">
        <f>Table1[[#This Row],[Price]]*Table1[[#This Row],[Sales_Quantity]]</f>
        <v>240000</v>
      </c>
    </row>
    <row r="73" spans="1:16" x14ac:dyDescent="0.3">
      <c r="A73" t="s">
        <v>157</v>
      </c>
      <c r="B73" s="6">
        <v>46259</v>
      </c>
      <c r="C73" t="s">
        <v>43</v>
      </c>
      <c r="D73" t="s">
        <v>78</v>
      </c>
      <c r="E73" t="s">
        <v>38</v>
      </c>
      <c r="F73" t="s">
        <v>79</v>
      </c>
      <c r="G73">
        <v>124</v>
      </c>
      <c r="H73">
        <v>60</v>
      </c>
      <c r="I73" s="4">
        <v>105000</v>
      </c>
      <c r="J73">
        <v>22</v>
      </c>
      <c r="K73" t="s">
        <v>27</v>
      </c>
      <c r="L73" t="s">
        <v>28</v>
      </c>
      <c r="M73">
        <v>4.2</v>
      </c>
      <c r="N73">
        <v>2</v>
      </c>
      <c r="O73" s="4">
        <v>24000</v>
      </c>
      <c r="P73">
        <f>Table1[[#This Row],[Price]]*Table1[[#This Row],[Sales_Quantity]]</f>
        <v>210000</v>
      </c>
    </row>
    <row r="74" spans="1:16" x14ac:dyDescent="0.3">
      <c r="A74" t="s">
        <v>158</v>
      </c>
      <c r="B74" s="6">
        <v>46260</v>
      </c>
      <c r="C74" t="s">
        <v>23</v>
      </c>
      <c r="D74" t="s">
        <v>24</v>
      </c>
      <c r="E74" t="s">
        <v>45</v>
      </c>
      <c r="F74" t="s">
        <v>105</v>
      </c>
      <c r="G74">
        <v>373</v>
      </c>
      <c r="H74">
        <v>30</v>
      </c>
      <c r="I74" s="4">
        <v>245000</v>
      </c>
      <c r="J74">
        <v>35</v>
      </c>
      <c r="K74" t="s">
        <v>47</v>
      </c>
      <c r="L74" t="s">
        <v>21</v>
      </c>
      <c r="M74">
        <v>4.7</v>
      </c>
      <c r="N74">
        <v>1</v>
      </c>
      <c r="O74" s="4">
        <v>28000</v>
      </c>
      <c r="P74">
        <f>Table1[[#This Row],[Price]]*Table1[[#This Row],[Sales_Quantity]]</f>
        <v>245000</v>
      </c>
    </row>
    <row r="75" spans="1:16" x14ac:dyDescent="0.3">
      <c r="A75" t="s">
        <v>159</v>
      </c>
      <c r="B75" s="6">
        <v>46261</v>
      </c>
      <c r="C75" t="s">
        <v>16</v>
      </c>
      <c r="D75" t="s">
        <v>81</v>
      </c>
      <c r="E75" t="s">
        <v>54</v>
      </c>
      <c r="F75" t="s">
        <v>75</v>
      </c>
      <c r="G75">
        <v>225</v>
      </c>
      <c r="H75">
        <v>42</v>
      </c>
      <c r="I75" s="4">
        <v>165000</v>
      </c>
      <c r="J75">
        <v>29</v>
      </c>
      <c r="K75" t="s">
        <v>40</v>
      </c>
      <c r="L75" t="s">
        <v>41</v>
      </c>
      <c r="M75">
        <v>4.3</v>
      </c>
      <c r="N75">
        <v>1</v>
      </c>
      <c r="O75" s="4">
        <v>18000</v>
      </c>
      <c r="P75">
        <f>Table1[[#This Row],[Price]]*Table1[[#This Row],[Sales_Quantity]]</f>
        <v>165000</v>
      </c>
    </row>
    <row r="76" spans="1:16" x14ac:dyDescent="0.3">
      <c r="A76" t="s">
        <v>160</v>
      </c>
      <c r="B76" s="6">
        <v>46262</v>
      </c>
      <c r="C76" t="s">
        <v>57</v>
      </c>
      <c r="D76" t="s">
        <v>91</v>
      </c>
      <c r="E76" t="s">
        <v>18</v>
      </c>
      <c r="F76" t="s">
        <v>94</v>
      </c>
      <c r="G76">
        <v>349</v>
      </c>
      <c r="H76">
        <v>41</v>
      </c>
      <c r="I76" s="4">
        <v>205000</v>
      </c>
      <c r="J76">
        <v>38</v>
      </c>
      <c r="K76" t="s">
        <v>89</v>
      </c>
      <c r="L76" t="s">
        <v>21</v>
      </c>
      <c r="M76">
        <v>4.5999999999999996</v>
      </c>
      <c r="N76">
        <v>1</v>
      </c>
      <c r="O76" s="4">
        <v>23000</v>
      </c>
      <c r="P76">
        <f>Table1[[#This Row],[Price]]*Table1[[#This Row],[Sales_Quantity]]</f>
        <v>205000</v>
      </c>
    </row>
    <row r="77" spans="1:16" x14ac:dyDescent="0.3">
      <c r="A77" t="s">
        <v>161</v>
      </c>
      <c r="B77" s="6">
        <v>46263</v>
      </c>
      <c r="C77" t="s">
        <v>30</v>
      </c>
      <c r="D77" t="s">
        <v>101</v>
      </c>
      <c r="E77" t="s">
        <v>32</v>
      </c>
      <c r="F77" t="s">
        <v>92</v>
      </c>
      <c r="G77">
        <v>373</v>
      </c>
      <c r="H77">
        <v>28</v>
      </c>
      <c r="I77" s="4">
        <v>340000</v>
      </c>
      <c r="J77">
        <v>32</v>
      </c>
      <c r="K77" t="s">
        <v>47</v>
      </c>
      <c r="L77" t="s">
        <v>21</v>
      </c>
      <c r="M77">
        <v>4.8</v>
      </c>
      <c r="N77">
        <v>1</v>
      </c>
      <c r="O77" s="4">
        <v>38000</v>
      </c>
      <c r="P77">
        <f>Table1[[#This Row],[Price]]*Table1[[#This Row],[Sales_Quantity]]</f>
        <v>340000</v>
      </c>
    </row>
    <row r="78" spans="1:16" x14ac:dyDescent="0.3">
      <c r="A78" t="s">
        <v>162</v>
      </c>
      <c r="B78" s="6">
        <v>46264</v>
      </c>
      <c r="C78" t="s">
        <v>16</v>
      </c>
      <c r="D78" t="s">
        <v>17</v>
      </c>
      <c r="E78" t="s">
        <v>38</v>
      </c>
      <c r="F78" t="s">
        <v>88</v>
      </c>
      <c r="G78">
        <v>162</v>
      </c>
      <c r="H78">
        <v>50</v>
      </c>
      <c r="I78" s="4">
        <v>115000</v>
      </c>
      <c r="J78">
        <v>40</v>
      </c>
      <c r="K78" t="s">
        <v>89</v>
      </c>
      <c r="L78" t="s">
        <v>41</v>
      </c>
      <c r="M78">
        <v>4.0999999999999996</v>
      </c>
      <c r="N78">
        <v>2</v>
      </c>
      <c r="O78" s="4">
        <v>27000</v>
      </c>
      <c r="P78">
        <f>Table1[[#This Row],[Price]]*Table1[[#This Row],[Sales_Quantity]]</f>
        <v>230000</v>
      </c>
    </row>
    <row r="79" spans="1:16" x14ac:dyDescent="0.3">
      <c r="A79" t="s">
        <v>163</v>
      </c>
      <c r="B79" s="6">
        <v>46265</v>
      </c>
      <c r="C79" t="s">
        <v>23</v>
      </c>
      <c r="D79" t="s">
        <v>117</v>
      </c>
      <c r="E79" t="s">
        <v>25</v>
      </c>
      <c r="F79" t="s">
        <v>99</v>
      </c>
      <c r="G79">
        <v>149</v>
      </c>
      <c r="H79">
        <v>49</v>
      </c>
      <c r="I79" s="4">
        <v>125000</v>
      </c>
      <c r="J79">
        <v>26</v>
      </c>
      <c r="K79" t="s">
        <v>61</v>
      </c>
      <c r="L79" t="s">
        <v>28</v>
      </c>
      <c r="M79">
        <v>4.2</v>
      </c>
      <c r="N79">
        <v>1</v>
      </c>
      <c r="O79" s="4">
        <v>14000</v>
      </c>
      <c r="P79">
        <f>Table1[[#This Row],[Price]]*Table1[[#This Row],[Sales_Quantity]]</f>
        <v>125000</v>
      </c>
    </row>
    <row r="80" spans="1:16" x14ac:dyDescent="0.3">
      <c r="A80" t="s">
        <v>164</v>
      </c>
      <c r="B80" s="6">
        <v>46266</v>
      </c>
      <c r="C80" t="s">
        <v>36</v>
      </c>
      <c r="D80" t="s">
        <v>107</v>
      </c>
      <c r="E80" t="s">
        <v>59</v>
      </c>
      <c r="F80" t="s">
        <v>102</v>
      </c>
      <c r="G80">
        <v>199</v>
      </c>
      <c r="H80">
        <v>40</v>
      </c>
      <c r="I80" s="4">
        <v>155000</v>
      </c>
      <c r="J80">
        <v>30</v>
      </c>
      <c r="K80" t="s">
        <v>103</v>
      </c>
      <c r="L80" t="s">
        <v>67</v>
      </c>
      <c r="M80">
        <v>4.5</v>
      </c>
      <c r="N80">
        <v>1</v>
      </c>
      <c r="O80" s="4">
        <v>17000</v>
      </c>
      <c r="P80">
        <f>Table1[[#This Row],[Price]]*Table1[[#This Row],[Sales_Quantity]]</f>
        <v>155000</v>
      </c>
    </row>
    <row r="81" spans="1:16" x14ac:dyDescent="0.3">
      <c r="A81" t="s">
        <v>165</v>
      </c>
      <c r="B81" s="6">
        <v>46267</v>
      </c>
      <c r="C81" t="s">
        <v>43</v>
      </c>
      <c r="D81" t="s">
        <v>96</v>
      </c>
      <c r="E81" t="s">
        <v>18</v>
      </c>
      <c r="F81" t="s">
        <v>84</v>
      </c>
      <c r="G81">
        <v>648</v>
      </c>
      <c r="H81">
        <v>23</v>
      </c>
      <c r="I81" s="4">
        <v>320000</v>
      </c>
      <c r="J81">
        <v>36</v>
      </c>
      <c r="K81" t="s">
        <v>47</v>
      </c>
      <c r="L81" t="s">
        <v>21</v>
      </c>
      <c r="M81">
        <v>4.9000000000000004</v>
      </c>
      <c r="N81">
        <v>1</v>
      </c>
      <c r="O81" s="4">
        <v>36000</v>
      </c>
      <c r="P81">
        <f>Table1[[#This Row],[Price]]*Table1[[#This Row],[Sales_Quantity]]</f>
        <v>320000</v>
      </c>
    </row>
    <row r="82" spans="1:16" x14ac:dyDescent="0.3">
      <c r="A82" t="s">
        <v>166</v>
      </c>
      <c r="B82" s="6">
        <v>46268</v>
      </c>
      <c r="C82" t="s">
        <v>16</v>
      </c>
      <c r="D82" t="s">
        <v>69</v>
      </c>
      <c r="E82" t="s">
        <v>45</v>
      </c>
      <c r="F82" t="s">
        <v>82</v>
      </c>
      <c r="G82">
        <v>149</v>
      </c>
      <c r="H82">
        <v>47</v>
      </c>
      <c r="I82" s="4">
        <v>115000</v>
      </c>
      <c r="J82">
        <v>24</v>
      </c>
      <c r="K82" t="s">
        <v>27</v>
      </c>
      <c r="L82" t="s">
        <v>28</v>
      </c>
      <c r="M82">
        <v>4.0999999999999996</v>
      </c>
      <c r="N82">
        <v>3</v>
      </c>
      <c r="O82" s="4">
        <v>38000</v>
      </c>
      <c r="P82">
        <f>Table1[[#This Row],[Price]]*Table1[[#This Row],[Sales_Quantity]]</f>
        <v>345000</v>
      </c>
    </row>
    <row r="83" spans="1:16" x14ac:dyDescent="0.3">
      <c r="A83" t="s">
        <v>167</v>
      </c>
      <c r="B83" s="6">
        <v>46269</v>
      </c>
      <c r="C83" t="s">
        <v>30</v>
      </c>
      <c r="D83" t="s">
        <v>31</v>
      </c>
      <c r="E83" t="s">
        <v>54</v>
      </c>
      <c r="F83" t="s">
        <v>97</v>
      </c>
      <c r="G83">
        <v>159</v>
      </c>
      <c r="H83">
        <v>47</v>
      </c>
      <c r="I83" s="4">
        <v>135000</v>
      </c>
      <c r="J83">
        <v>28</v>
      </c>
      <c r="K83" t="s">
        <v>20</v>
      </c>
      <c r="L83" t="s">
        <v>21</v>
      </c>
      <c r="M83">
        <v>4.4000000000000004</v>
      </c>
      <c r="N83">
        <v>1</v>
      </c>
      <c r="O83" s="4">
        <v>15000</v>
      </c>
      <c r="P83">
        <f>Table1[[#This Row],[Price]]*Table1[[#This Row],[Sales_Quantity]]</f>
        <v>135000</v>
      </c>
    </row>
    <row r="84" spans="1:16" x14ac:dyDescent="0.3">
      <c r="A84" t="s">
        <v>168</v>
      </c>
      <c r="B84" s="6">
        <v>46270</v>
      </c>
      <c r="C84" t="s">
        <v>23</v>
      </c>
      <c r="D84" t="s">
        <v>49</v>
      </c>
      <c r="E84" t="s">
        <v>38</v>
      </c>
      <c r="F84" t="s">
        <v>39</v>
      </c>
      <c r="G84">
        <v>123</v>
      </c>
      <c r="H84">
        <v>55</v>
      </c>
      <c r="I84" s="4">
        <v>90000</v>
      </c>
      <c r="J84">
        <v>39</v>
      </c>
      <c r="K84" t="s">
        <v>40</v>
      </c>
      <c r="L84" t="s">
        <v>41</v>
      </c>
      <c r="M84">
        <v>4</v>
      </c>
      <c r="N84">
        <v>2</v>
      </c>
      <c r="O84" s="4">
        <v>20000</v>
      </c>
      <c r="P84">
        <f>Table1[[#This Row],[Price]]*Table1[[#This Row],[Sales_Quantity]]</f>
        <v>180000</v>
      </c>
    </row>
    <row r="85" spans="1:16" x14ac:dyDescent="0.3">
      <c r="A85" t="s">
        <v>169</v>
      </c>
      <c r="B85" s="6">
        <v>46271</v>
      </c>
      <c r="C85" t="s">
        <v>16</v>
      </c>
      <c r="D85" t="s">
        <v>53</v>
      </c>
      <c r="E85" t="s">
        <v>18</v>
      </c>
      <c r="F85" t="s">
        <v>70</v>
      </c>
      <c r="G85">
        <v>349</v>
      </c>
      <c r="H85">
        <v>36</v>
      </c>
      <c r="I85" s="4">
        <v>175000</v>
      </c>
      <c r="J85">
        <v>27</v>
      </c>
      <c r="K85" t="s">
        <v>47</v>
      </c>
      <c r="L85" t="s">
        <v>21</v>
      </c>
      <c r="M85">
        <v>4.5999999999999996</v>
      </c>
      <c r="N85">
        <v>1</v>
      </c>
      <c r="O85" s="4">
        <v>20000</v>
      </c>
      <c r="P85">
        <f>Table1[[#This Row],[Price]]*Table1[[#This Row],[Sales_Quantity]]</f>
        <v>175000</v>
      </c>
    </row>
    <row r="86" spans="1:16" x14ac:dyDescent="0.3">
      <c r="A86" t="s">
        <v>170</v>
      </c>
      <c r="B86" s="6">
        <v>46272</v>
      </c>
      <c r="C86" t="s">
        <v>57</v>
      </c>
      <c r="D86" t="s">
        <v>58</v>
      </c>
      <c r="E86" t="s">
        <v>25</v>
      </c>
      <c r="F86" t="s">
        <v>26</v>
      </c>
      <c r="G86">
        <v>155</v>
      </c>
      <c r="H86">
        <v>48</v>
      </c>
      <c r="I86" s="4">
        <v>175000</v>
      </c>
      <c r="J86">
        <v>23</v>
      </c>
      <c r="K86" t="s">
        <v>34</v>
      </c>
      <c r="L86" t="s">
        <v>28</v>
      </c>
      <c r="M86">
        <v>4.5</v>
      </c>
      <c r="N86">
        <v>2</v>
      </c>
      <c r="O86" s="4">
        <v>38000</v>
      </c>
      <c r="P86">
        <f>Table1[[#This Row],[Price]]*Table1[[#This Row],[Sales_Quantity]]</f>
        <v>350000</v>
      </c>
    </row>
    <row r="87" spans="1:16" x14ac:dyDescent="0.3">
      <c r="A87" t="s">
        <v>171</v>
      </c>
      <c r="B87" s="6">
        <v>46273</v>
      </c>
      <c r="C87" t="s">
        <v>43</v>
      </c>
      <c r="D87" t="s">
        <v>44</v>
      </c>
      <c r="E87" t="s">
        <v>32</v>
      </c>
      <c r="F87" t="s">
        <v>92</v>
      </c>
      <c r="G87">
        <v>373</v>
      </c>
      <c r="H87">
        <v>28</v>
      </c>
      <c r="I87" s="4">
        <v>340000</v>
      </c>
      <c r="J87">
        <v>34</v>
      </c>
      <c r="K87" t="s">
        <v>47</v>
      </c>
      <c r="L87" t="s">
        <v>21</v>
      </c>
      <c r="M87">
        <v>4.8</v>
      </c>
      <c r="N87">
        <v>1</v>
      </c>
      <c r="O87" s="4">
        <v>38000</v>
      </c>
      <c r="P87">
        <f>Table1[[#This Row],[Price]]*Table1[[#This Row],[Sales_Quantity]]</f>
        <v>340000</v>
      </c>
    </row>
    <row r="88" spans="1:16" x14ac:dyDescent="0.3">
      <c r="A88" t="s">
        <v>172</v>
      </c>
      <c r="B88" s="6">
        <v>46274</v>
      </c>
      <c r="C88" t="s">
        <v>36</v>
      </c>
      <c r="D88" t="s">
        <v>37</v>
      </c>
      <c r="E88" t="s">
        <v>18</v>
      </c>
      <c r="F88" t="s">
        <v>50</v>
      </c>
      <c r="G88">
        <v>349</v>
      </c>
      <c r="H88">
        <v>41</v>
      </c>
      <c r="I88" s="4">
        <v>195000</v>
      </c>
      <c r="J88">
        <v>31</v>
      </c>
      <c r="K88" t="s">
        <v>76</v>
      </c>
      <c r="L88" t="s">
        <v>67</v>
      </c>
      <c r="M88">
        <v>4.5</v>
      </c>
      <c r="N88">
        <v>2</v>
      </c>
      <c r="O88" s="4">
        <v>44000</v>
      </c>
      <c r="P88">
        <f>Table1[[#This Row],[Price]]*Table1[[#This Row],[Sales_Quantity]]</f>
        <v>390000</v>
      </c>
    </row>
    <row r="89" spans="1:16" x14ac:dyDescent="0.3">
      <c r="A89" t="s">
        <v>173</v>
      </c>
      <c r="B89" s="6">
        <v>46275</v>
      </c>
      <c r="C89" t="s">
        <v>16</v>
      </c>
      <c r="D89" t="s">
        <v>81</v>
      </c>
      <c r="E89" t="s">
        <v>38</v>
      </c>
      <c r="F89" t="s">
        <v>79</v>
      </c>
      <c r="G89">
        <v>124</v>
      </c>
      <c r="H89">
        <v>60</v>
      </c>
      <c r="I89" s="4">
        <v>105000</v>
      </c>
      <c r="J89">
        <v>21</v>
      </c>
      <c r="K89" t="s">
        <v>27</v>
      </c>
      <c r="L89" t="s">
        <v>28</v>
      </c>
      <c r="M89">
        <v>4.2</v>
      </c>
      <c r="N89">
        <v>1</v>
      </c>
      <c r="O89" s="4">
        <v>12000</v>
      </c>
      <c r="P89">
        <f>Table1[[#This Row],[Price]]*Table1[[#This Row],[Sales_Quantity]]</f>
        <v>105000</v>
      </c>
    </row>
    <row r="90" spans="1:16" x14ac:dyDescent="0.3">
      <c r="A90" t="s">
        <v>174</v>
      </c>
      <c r="B90" s="6">
        <v>46276</v>
      </c>
      <c r="C90" t="s">
        <v>23</v>
      </c>
      <c r="D90" t="s">
        <v>24</v>
      </c>
      <c r="E90" t="s">
        <v>54</v>
      </c>
      <c r="F90" t="s">
        <v>75</v>
      </c>
      <c r="G90">
        <v>225</v>
      </c>
      <c r="H90">
        <v>42</v>
      </c>
      <c r="I90" s="4">
        <v>165000</v>
      </c>
      <c r="J90">
        <v>26</v>
      </c>
      <c r="K90" t="s">
        <v>20</v>
      </c>
      <c r="L90" t="s">
        <v>21</v>
      </c>
      <c r="M90">
        <v>4.7</v>
      </c>
      <c r="N90">
        <v>1</v>
      </c>
      <c r="O90" s="4">
        <v>18000</v>
      </c>
      <c r="P90">
        <f>Table1[[#This Row],[Price]]*Table1[[#This Row],[Sales_Quantity]]</f>
        <v>165000</v>
      </c>
    </row>
    <row r="91" spans="1:16" x14ac:dyDescent="0.3">
      <c r="A91" t="s">
        <v>175</v>
      </c>
      <c r="B91" s="6">
        <v>46277</v>
      </c>
      <c r="C91" t="s">
        <v>30</v>
      </c>
      <c r="D91" t="s">
        <v>63</v>
      </c>
      <c r="E91" t="s">
        <v>18</v>
      </c>
      <c r="F91" t="s">
        <v>19</v>
      </c>
      <c r="G91">
        <v>452</v>
      </c>
      <c r="H91">
        <v>29</v>
      </c>
      <c r="I91" s="4">
        <v>260000</v>
      </c>
      <c r="J91">
        <v>33</v>
      </c>
      <c r="K91" t="s">
        <v>47</v>
      </c>
      <c r="L91" t="s">
        <v>21</v>
      </c>
      <c r="M91">
        <v>4.9000000000000004</v>
      </c>
      <c r="N91">
        <v>1</v>
      </c>
      <c r="O91" s="4">
        <v>30000</v>
      </c>
      <c r="P91">
        <f>Table1[[#This Row],[Price]]*Table1[[#This Row],[Sales_Quantity]]</f>
        <v>260000</v>
      </c>
    </row>
    <row r="92" spans="1:16" x14ac:dyDescent="0.3">
      <c r="A92" t="s">
        <v>176</v>
      </c>
      <c r="B92" s="6">
        <v>46278</v>
      </c>
      <c r="C92" t="s">
        <v>16</v>
      </c>
      <c r="D92" t="s">
        <v>17</v>
      </c>
      <c r="E92" t="s">
        <v>18</v>
      </c>
      <c r="F92" t="s">
        <v>70</v>
      </c>
      <c r="G92">
        <v>349</v>
      </c>
      <c r="H92">
        <v>36</v>
      </c>
      <c r="I92" s="4">
        <v>175000</v>
      </c>
      <c r="J92">
        <v>26</v>
      </c>
      <c r="K92" t="s">
        <v>34</v>
      </c>
      <c r="L92" t="s">
        <v>21</v>
      </c>
      <c r="M92">
        <v>4.5</v>
      </c>
      <c r="N92">
        <v>1</v>
      </c>
      <c r="O92" s="4">
        <v>20000</v>
      </c>
      <c r="P92">
        <f>Table1[[#This Row],[Price]]*Table1[[#This Row],[Sales_Quantity]]</f>
        <v>175000</v>
      </c>
    </row>
    <row r="93" spans="1:16" x14ac:dyDescent="0.3">
      <c r="A93" t="s">
        <v>177</v>
      </c>
      <c r="B93" s="6">
        <v>46279</v>
      </c>
      <c r="C93" t="s">
        <v>23</v>
      </c>
      <c r="D93" t="s">
        <v>24</v>
      </c>
      <c r="E93" t="s">
        <v>25</v>
      </c>
      <c r="F93" t="s">
        <v>26</v>
      </c>
      <c r="G93">
        <v>155</v>
      </c>
      <c r="H93">
        <v>48</v>
      </c>
      <c r="I93" s="4">
        <v>175000</v>
      </c>
      <c r="J93">
        <v>24</v>
      </c>
      <c r="K93" t="s">
        <v>27</v>
      </c>
      <c r="L93" t="s">
        <v>28</v>
      </c>
      <c r="M93">
        <v>4.3</v>
      </c>
      <c r="N93">
        <v>2</v>
      </c>
      <c r="O93" s="4">
        <v>38000</v>
      </c>
      <c r="P93">
        <f>Table1[[#This Row],[Price]]*Table1[[#This Row],[Sales_Quantity]]</f>
        <v>350000</v>
      </c>
    </row>
    <row r="94" spans="1:16" x14ac:dyDescent="0.3">
      <c r="A94" t="s">
        <v>178</v>
      </c>
      <c r="B94" s="6">
        <v>46280</v>
      </c>
      <c r="C94" t="s">
        <v>30</v>
      </c>
      <c r="D94" t="s">
        <v>31</v>
      </c>
      <c r="E94" t="s">
        <v>38</v>
      </c>
      <c r="F94" t="s">
        <v>79</v>
      </c>
      <c r="G94">
        <v>124</v>
      </c>
      <c r="H94">
        <v>60</v>
      </c>
      <c r="I94" s="4">
        <v>105000</v>
      </c>
      <c r="J94">
        <v>30</v>
      </c>
      <c r="K94" t="s">
        <v>40</v>
      </c>
      <c r="L94" t="s">
        <v>41</v>
      </c>
      <c r="M94">
        <v>4.2</v>
      </c>
      <c r="N94">
        <v>1</v>
      </c>
      <c r="O94" s="4">
        <v>12000</v>
      </c>
      <c r="P94">
        <f>Table1[[#This Row],[Price]]*Table1[[#This Row],[Sales_Quantity]]</f>
        <v>105000</v>
      </c>
    </row>
    <row r="95" spans="1:16" x14ac:dyDescent="0.3">
      <c r="A95" t="s">
        <v>179</v>
      </c>
      <c r="B95" s="6">
        <v>46281</v>
      </c>
      <c r="C95" t="s">
        <v>43</v>
      </c>
      <c r="D95" t="s">
        <v>44</v>
      </c>
      <c r="E95" t="s">
        <v>45</v>
      </c>
      <c r="F95" t="s">
        <v>46</v>
      </c>
      <c r="G95">
        <v>199</v>
      </c>
      <c r="H95">
        <v>40</v>
      </c>
      <c r="I95" s="4">
        <v>155000</v>
      </c>
      <c r="J95">
        <v>27</v>
      </c>
      <c r="K95" t="s">
        <v>47</v>
      </c>
      <c r="L95" t="s">
        <v>21</v>
      </c>
      <c r="M95">
        <v>4.5</v>
      </c>
      <c r="N95">
        <v>1</v>
      </c>
      <c r="O95" s="4">
        <v>17000</v>
      </c>
      <c r="P95">
        <f>Table1[[#This Row],[Price]]*Table1[[#This Row],[Sales_Quantity]]</f>
        <v>155000</v>
      </c>
    </row>
    <row r="96" spans="1:16" x14ac:dyDescent="0.3">
      <c r="A96" t="s">
        <v>180</v>
      </c>
      <c r="B96" s="6">
        <v>46282</v>
      </c>
      <c r="C96" t="s">
        <v>36</v>
      </c>
      <c r="D96" t="s">
        <v>37</v>
      </c>
      <c r="E96" t="s">
        <v>54</v>
      </c>
      <c r="F96" t="s">
        <v>55</v>
      </c>
      <c r="G96">
        <v>197</v>
      </c>
      <c r="H96">
        <v>38</v>
      </c>
      <c r="I96" s="4">
        <v>155000</v>
      </c>
      <c r="J96">
        <v>32</v>
      </c>
      <c r="K96" t="s">
        <v>76</v>
      </c>
      <c r="L96" t="s">
        <v>67</v>
      </c>
      <c r="M96">
        <v>4.4000000000000004</v>
      </c>
      <c r="N96">
        <v>2</v>
      </c>
      <c r="O96" s="4">
        <v>34000</v>
      </c>
      <c r="P96">
        <f>Table1[[#This Row],[Price]]*Table1[[#This Row],[Sales_Quantity]]</f>
        <v>310000</v>
      </c>
    </row>
    <row r="97" spans="1:16" x14ac:dyDescent="0.3">
      <c r="A97" t="s">
        <v>181</v>
      </c>
      <c r="B97" s="6">
        <v>46283</v>
      </c>
      <c r="C97" t="s">
        <v>57</v>
      </c>
      <c r="D97" t="s">
        <v>58</v>
      </c>
      <c r="E97" t="s">
        <v>59</v>
      </c>
      <c r="F97" t="s">
        <v>60</v>
      </c>
      <c r="G97">
        <v>163</v>
      </c>
      <c r="H97">
        <v>48</v>
      </c>
      <c r="I97" s="4">
        <v>125000</v>
      </c>
      <c r="J97">
        <v>25</v>
      </c>
      <c r="K97" t="s">
        <v>61</v>
      </c>
      <c r="L97" t="s">
        <v>28</v>
      </c>
      <c r="M97">
        <v>4.0999999999999996</v>
      </c>
      <c r="N97">
        <v>1</v>
      </c>
      <c r="O97" s="4">
        <v>14000</v>
      </c>
      <c r="P97">
        <f>Table1[[#This Row],[Price]]*Table1[[#This Row],[Sales_Quantity]]</f>
        <v>125000</v>
      </c>
    </row>
    <row r="98" spans="1:16" x14ac:dyDescent="0.3">
      <c r="A98" t="s">
        <v>182</v>
      </c>
      <c r="B98" s="6">
        <v>46284</v>
      </c>
      <c r="C98" t="s">
        <v>16</v>
      </c>
      <c r="D98" t="s">
        <v>53</v>
      </c>
      <c r="E98" t="s">
        <v>32</v>
      </c>
      <c r="F98" t="s">
        <v>33</v>
      </c>
      <c r="G98">
        <v>399</v>
      </c>
      <c r="H98">
        <v>30</v>
      </c>
      <c r="I98" s="4">
        <v>305000</v>
      </c>
      <c r="J98">
        <v>29</v>
      </c>
      <c r="K98" t="s">
        <v>20</v>
      </c>
      <c r="L98" t="s">
        <v>21</v>
      </c>
      <c r="M98">
        <v>4.7</v>
      </c>
      <c r="N98">
        <v>1</v>
      </c>
      <c r="O98" s="4">
        <v>33000</v>
      </c>
      <c r="P98">
        <f>Table1[[#This Row],[Price]]*Table1[[#This Row],[Sales_Quantity]]</f>
        <v>305000</v>
      </c>
    </row>
    <row r="99" spans="1:16" x14ac:dyDescent="0.3">
      <c r="A99" t="s">
        <v>183</v>
      </c>
      <c r="B99" s="6">
        <v>46285</v>
      </c>
      <c r="C99" t="s">
        <v>23</v>
      </c>
      <c r="D99" t="s">
        <v>49</v>
      </c>
      <c r="E99" t="s">
        <v>18</v>
      </c>
      <c r="F99" t="s">
        <v>50</v>
      </c>
      <c r="G99">
        <v>349</v>
      </c>
      <c r="H99">
        <v>41</v>
      </c>
      <c r="I99" s="4">
        <v>195000</v>
      </c>
      <c r="J99">
        <v>35</v>
      </c>
      <c r="K99" t="s">
        <v>47</v>
      </c>
      <c r="L99" t="s">
        <v>41</v>
      </c>
      <c r="M99">
        <v>4.5</v>
      </c>
      <c r="N99">
        <v>1</v>
      </c>
      <c r="O99" s="4">
        <v>22000</v>
      </c>
      <c r="P99">
        <f>Table1[[#This Row],[Price]]*Table1[[#This Row],[Sales_Quantity]]</f>
        <v>195000</v>
      </c>
    </row>
    <row r="100" spans="1:16" x14ac:dyDescent="0.3">
      <c r="A100" t="s">
        <v>184</v>
      </c>
      <c r="B100" s="6">
        <v>46286</v>
      </c>
      <c r="C100" t="s">
        <v>30</v>
      </c>
      <c r="D100" t="s">
        <v>63</v>
      </c>
      <c r="E100" t="s">
        <v>64</v>
      </c>
      <c r="F100" t="s">
        <v>65</v>
      </c>
      <c r="G100">
        <v>155</v>
      </c>
      <c r="H100">
        <v>45</v>
      </c>
      <c r="I100" s="4">
        <v>145000</v>
      </c>
      <c r="J100">
        <v>28</v>
      </c>
      <c r="K100" t="s">
        <v>66</v>
      </c>
      <c r="L100" t="s">
        <v>67</v>
      </c>
      <c r="M100">
        <v>4.5999999999999996</v>
      </c>
      <c r="N100">
        <v>1</v>
      </c>
      <c r="O100" s="4">
        <v>16000</v>
      </c>
      <c r="P100">
        <f>Table1[[#This Row],[Price]]*Table1[[#This Row],[Sales_Quantity]]</f>
        <v>145000</v>
      </c>
    </row>
    <row r="101" spans="1:16" x14ac:dyDescent="0.3">
      <c r="A101" t="s">
        <v>185</v>
      </c>
      <c r="B101" s="6">
        <v>46287</v>
      </c>
      <c r="C101" t="s">
        <v>16</v>
      </c>
      <c r="D101" t="s">
        <v>69</v>
      </c>
      <c r="E101" t="s">
        <v>18</v>
      </c>
      <c r="F101" t="s">
        <v>19</v>
      </c>
      <c r="G101">
        <v>452</v>
      </c>
      <c r="H101">
        <v>29</v>
      </c>
      <c r="I101" s="4">
        <v>260000</v>
      </c>
      <c r="J101">
        <v>31</v>
      </c>
      <c r="K101" t="s">
        <v>47</v>
      </c>
      <c r="L101" t="s">
        <v>21</v>
      </c>
      <c r="M101">
        <v>4.8</v>
      </c>
      <c r="N101">
        <v>2</v>
      </c>
      <c r="O101" s="4">
        <v>60000</v>
      </c>
      <c r="P101">
        <f>Table1[[#This Row],[Price]]*Table1[[#This Row],[Sales_Quantity]]</f>
        <v>520000</v>
      </c>
    </row>
    <row r="102" spans="1:16" x14ac:dyDescent="0.3">
      <c r="A102" t="s">
        <v>186</v>
      </c>
      <c r="B102" s="6">
        <v>46288</v>
      </c>
      <c r="C102" t="s">
        <v>36</v>
      </c>
      <c r="D102" t="s">
        <v>74</v>
      </c>
      <c r="E102" t="s">
        <v>32</v>
      </c>
      <c r="F102" t="s">
        <v>72</v>
      </c>
      <c r="G102">
        <v>249</v>
      </c>
      <c r="H102">
        <v>32</v>
      </c>
      <c r="I102" s="4">
        <v>240000</v>
      </c>
      <c r="J102">
        <v>26</v>
      </c>
      <c r="K102" t="s">
        <v>34</v>
      </c>
      <c r="L102" t="s">
        <v>21</v>
      </c>
      <c r="M102">
        <v>4.4000000000000004</v>
      </c>
      <c r="N102">
        <v>1</v>
      </c>
      <c r="O102" s="4">
        <v>26000</v>
      </c>
      <c r="P102">
        <f>Table1[[#This Row],[Price]]*Table1[[#This Row],[Sales_Quantity]]</f>
        <v>240000</v>
      </c>
    </row>
    <row r="103" spans="1:16" x14ac:dyDescent="0.3">
      <c r="A103" t="s">
        <v>187</v>
      </c>
      <c r="B103" s="6">
        <v>46289</v>
      </c>
      <c r="C103" t="s">
        <v>43</v>
      </c>
      <c r="D103" t="s">
        <v>78</v>
      </c>
      <c r="E103" t="s">
        <v>38</v>
      </c>
      <c r="F103" t="s">
        <v>79</v>
      </c>
      <c r="G103">
        <v>124</v>
      </c>
      <c r="H103">
        <v>60</v>
      </c>
      <c r="I103" s="4">
        <v>105000</v>
      </c>
      <c r="J103">
        <v>22</v>
      </c>
      <c r="K103" t="s">
        <v>27</v>
      </c>
      <c r="L103" t="s">
        <v>28</v>
      </c>
      <c r="M103">
        <v>4.0999999999999996</v>
      </c>
      <c r="N103">
        <v>1</v>
      </c>
      <c r="O103" s="4">
        <v>12000</v>
      </c>
      <c r="P103">
        <f>Table1[[#This Row],[Price]]*Table1[[#This Row],[Sales_Quantity]]</f>
        <v>105000</v>
      </c>
    </row>
    <row r="104" spans="1:16" x14ac:dyDescent="0.3">
      <c r="A104" t="s">
        <v>188</v>
      </c>
      <c r="B104" s="6">
        <v>46290</v>
      </c>
      <c r="C104" t="s">
        <v>23</v>
      </c>
      <c r="D104" t="s">
        <v>24</v>
      </c>
      <c r="E104" t="s">
        <v>45</v>
      </c>
      <c r="F104" t="s">
        <v>105</v>
      </c>
      <c r="G104">
        <v>373</v>
      </c>
      <c r="H104">
        <v>30</v>
      </c>
      <c r="I104" s="4">
        <v>245000</v>
      </c>
      <c r="J104">
        <v>34</v>
      </c>
      <c r="K104" t="s">
        <v>47</v>
      </c>
      <c r="L104" t="s">
        <v>21</v>
      </c>
      <c r="M104">
        <v>4.7</v>
      </c>
      <c r="N104">
        <v>1</v>
      </c>
      <c r="O104" s="4">
        <v>28000</v>
      </c>
      <c r="P104">
        <f>Table1[[#This Row],[Price]]*Table1[[#This Row],[Sales_Quantity]]</f>
        <v>245000</v>
      </c>
    </row>
    <row r="105" spans="1:16" x14ac:dyDescent="0.3">
      <c r="A105" t="s">
        <v>189</v>
      </c>
      <c r="B105" s="6">
        <v>46291</v>
      </c>
      <c r="C105" t="s">
        <v>16</v>
      </c>
      <c r="D105" t="s">
        <v>81</v>
      </c>
      <c r="E105" t="s">
        <v>54</v>
      </c>
      <c r="F105" t="s">
        <v>75</v>
      </c>
      <c r="G105">
        <v>225</v>
      </c>
      <c r="H105">
        <v>42</v>
      </c>
      <c r="I105" s="4">
        <v>165000</v>
      </c>
      <c r="J105">
        <v>29</v>
      </c>
      <c r="K105" t="s">
        <v>40</v>
      </c>
      <c r="L105" t="s">
        <v>41</v>
      </c>
      <c r="M105">
        <v>4.3</v>
      </c>
      <c r="N105">
        <v>2</v>
      </c>
      <c r="O105" s="4">
        <v>36000</v>
      </c>
      <c r="P105">
        <f>Table1[[#This Row],[Price]]*Table1[[#This Row],[Sales_Quantity]]</f>
        <v>330000</v>
      </c>
    </row>
    <row r="106" spans="1:16" x14ac:dyDescent="0.3">
      <c r="A106" t="s">
        <v>190</v>
      </c>
      <c r="B106" s="6">
        <v>46292</v>
      </c>
      <c r="C106" t="s">
        <v>57</v>
      </c>
      <c r="D106" t="s">
        <v>91</v>
      </c>
      <c r="E106" t="s">
        <v>18</v>
      </c>
      <c r="F106" t="s">
        <v>94</v>
      </c>
      <c r="G106">
        <v>349</v>
      </c>
      <c r="H106">
        <v>41</v>
      </c>
      <c r="I106" s="4">
        <v>205000</v>
      </c>
      <c r="J106">
        <v>37</v>
      </c>
      <c r="K106" t="s">
        <v>89</v>
      </c>
      <c r="L106" t="s">
        <v>21</v>
      </c>
      <c r="M106">
        <v>4.5999999999999996</v>
      </c>
      <c r="N106">
        <v>1</v>
      </c>
      <c r="O106" s="4">
        <v>23000</v>
      </c>
      <c r="P106">
        <f>Table1[[#This Row],[Price]]*Table1[[#This Row],[Sales_Quantity]]</f>
        <v>205000</v>
      </c>
    </row>
    <row r="107" spans="1:16" x14ac:dyDescent="0.3">
      <c r="A107" t="s">
        <v>191</v>
      </c>
      <c r="B107" s="6">
        <v>46293</v>
      </c>
      <c r="C107" t="s">
        <v>30</v>
      </c>
      <c r="D107" t="s">
        <v>101</v>
      </c>
      <c r="E107" t="s">
        <v>32</v>
      </c>
      <c r="F107" t="s">
        <v>92</v>
      </c>
      <c r="G107">
        <v>373</v>
      </c>
      <c r="H107">
        <v>28</v>
      </c>
      <c r="I107" s="4">
        <v>340000</v>
      </c>
      <c r="J107">
        <v>33</v>
      </c>
      <c r="K107" t="s">
        <v>47</v>
      </c>
      <c r="L107" t="s">
        <v>21</v>
      </c>
      <c r="M107">
        <v>4.9000000000000004</v>
      </c>
      <c r="N107">
        <v>1</v>
      </c>
      <c r="O107" s="4">
        <v>38000</v>
      </c>
      <c r="P107">
        <f>Table1[[#This Row],[Price]]*Table1[[#This Row],[Sales_Quantity]]</f>
        <v>340000</v>
      </c>
    </row>
    <row r="108" spans="1:16" x14ac:dyDescent="0.3">
      <c r="A108" t="s">
        <v>192</v>
      </c>
      <c r="B108" s="6">
        <v>46294</v>
      </c>
      <c r="C108" t="s">
        <v>16</v>
      </c>
      <c r="D108" t="s">
        <v>17</v>
      </c>
      <c r="E108" t="s">
        <v>38</v>
      </c>
      <c r="F108" t="s">
        <v>88</v>
      </c>
      <c r="G108">
        <v>162</v>
      </c>
      <c r="H108">
        <v>50</v>
      </c>
      <c r="I108" s="4">
        <v>115000</v>
      </c>
      <c r="J108">
        <v>41</v>
      </c>
      <c r="K108" t="s">
        <v>89</v>
      </c>
      <c r="L108" t="s">
        <v>41</v>
      </c>
      <c r="M108">
        <v>4.2</v>
      </c>
      <c r="N108">
        <v>2</v>
      </c>
      <c r="O108" s="4">
        <v>27000</v>
      </c>
      <c r="P108">
        <f>Table1[[#This Row],[Price]]*Table1[[#This Row],[Sales_Quantity]]</f>
        <v>230000</v>
      </c>
    </row>
    <row r="109" spans="1:16" x14ac:dyDescent="0.3">
      <c r="A109" t="s">
        <v>193</v>
      </c>
      <c r="B109" s="6">
        <v>46295</v>
      </c>
      <c r="C109" t="s">
        <v>23</v>
      </c>
      <c r="D109" t="s">
        <v>117</v>
      </c>
      <c r="E109" t="s">
        <v>25</v>
      </c>
      <c r="F109" t="s">
        <v>99</v>
      </c>
      <c r="G109">
        <v>149</v>
      </c>
      <c r="H109">
        <v>49</v>
      </c>
      <c r="I109" s="4">
        <v>125000</v>
      </c>
      <c r="J109">
        <v>27</v>
      </c>
      <c r="K109" t="s">
        <v>61</v>
      </c>
      <c r="L109" t="s">
        <v>28</v>
      </c>
      <c r="M109">
        <v>4</v>
      </c>
      <c r="N109">
        <v>1</v>
      </c>
      <c r="O109" s="4">
        <v>14000</v>
      </c>
      <c r="P109">
        <f>Table1[[#This Row],[Price]]*Table1[[#This Row],[Sales_Quantity]]</f>
        <v>125000</v>
      </c>
    </row>
    <row r="110" spans="1:16" x14ac:dyDescent="0.3">
      <c r="A110" t="s">
        <v>194</v>
      </c>
      <c r="B110" s="6">
        <v>46296</v>
      </c>
      <c r="C110" t="s">
        <v>36</v>
      </c>
      <c r="D110" t="s">
        <v>107</v>
      </c>
      <c r="E110" t="s">
        <v>59</v>
      </c>
      <c r="F110" t="s">
        <v>102</v>
      </c>
      <c r="G110">
        <v>199</v>
      </c>
      <c r="H110">
        <v>40</v>
      </c>
      <c r="I110" s="4">
        <v>155000</v>
      </c>
      <c r="J110">
        <v>31</v>
      </c>
      <c r="K110" t="s">
        <v>103</v>
      </c>
      <c r="L110" t="s">
        <v>67</v>
      </c>
      <c r="M110">
        <v>4.5</v>
      </c>
      <c r="N110">
        <v>1</v>
      </c>
      <c r="O110" s="4">
        <v>17000</v>
      </c>
      <c r="P110">
        <f>Table1[[#This Row],[Price]]*Table1[[#This Row],[Sales_Quantity]]</f>
        <v>155000</v>
      </c>
    </row>
    <row r="111" spans="1:16" x14ac:dyDescent="0.3">
      <c r="A111" t="s">
        <v>195</v>
      </c>
      <c r="B111" s="6">
        <v>46297</v>
      </c>
      <c r="C111" t="s">
        <v>43</v>
      </c>
      <c r="D111" t="s">
        <v>96</v>
      </c>
      <c r="E111" t="s">
        <v>18</v>
      </c>
      <c r="F111" t="s">
        <v>84</v>
      </c>
      <c r="G111">
        <v>648</v>
      </c>
      <c r="H111">
        <v>23</v>
      </c>
      <c r="I111" s="4">
        <v>320000</v>
      </c>
      <c r="J111">
        <v>36</v>
      </c>
      <c r="K111" t="s">
        <v>47</v>
      </c>
      <c r="L111" t="s">
        <v>21</v>
      </c>
      <c r="M111">
        <v>4.8</v>
      </c>
      <c r="N111">
        <v>1</v>
      </c>
      <c r="O111" s="4">
        <v>36000</v>
      </c>
      <c r="P111">
        <f>Table1[[#This Row],[Price]]*Table1[[#This Row],[Sales_Quantity]]</f>
        <v>320000</v>
      </c>
    </row>
    <row r="112" spans="1:16" x14ac:dyDescent="0.3">
      <c r="A112" t="s">
        <v>196</v>
      </c>
      <c r="B112" s="6">
        <v>46298</v>
      </c>
      <c r="C112" t="s">
        <v>16</v>
      </c>
      <c r="D112" t="s">
        <v>69</v>
      </c>
      <c r="E112" t="s">
        <v>45</v>
      </c>
      <c r="F112" t="s">
        <v>82</v>
      </c>
      <c r="G112">
        <v>149</v>
      </c>
      <c r="H112">
        <v>47</v>
      </c>
      <c r="I112" s="4">
        <v>115000</v>
      </c>
      <c r="J112">
        <v>24</v>
      </c>
      <c r="K112" t="s">
        <v>27</v>
      </c>
      <c r="L112" t="s">
        <v>28</v>
      </c>
      <c r="M112">
        <v>4.2</v>
      </c>
      <c r="N112">
        <v>2</v>
      </c>
      <c r="O112" s="4">
        <v>26000</v>
      </c>
      <c r="P112">
        <f>Table1[[#This Row],[Price]]*Table1[[#This Row],[Sales_Quantity]]</f>
        <v>230000</v>
      </c>
    </row>
    <row r="113" spans="1:16" x14ac:dyDescent="0.3">
      <c r="A113" t="s">
        <v>197</v>
      </c>
      <c r="B113" s="6">
        <v>46299</v>
      </c>
      <c r="C113" t="s">
        <v>30</v>
      </c>
      <c r="D113" t="s">
        <v>31</v>
      </c>
      <c r="E113" t="s">
        <v>54</v>
      </c>
      <c r="F113" t="s">
        <v>97</v>
      </c>
      <c r="G113">
        <v>159</v>
      </c>
      <c r="H113">
        <v>47</v>
      </c>
      <c r="I113" s="4">
        <v>135000</v>
      </c>
      <c r="J113">
        <v>28</v>
      </c>
      <c r="K113" t="s">
        <v>20</v>
      </c>
      <c r="L113" t="s">
        <v>21</v>
      </c>
      <c r="M113">
        <v>4.4000000000000004</v>
      </c>
      <c r="N113">
        <v>1</v>
      </c>
      <c r="O113" s="4">
        <v>15000</v>
      </c>
      <c r="P113">
        <f>Table1[[#This Row],[Price]]*Table1[[#This Row],[Sales_Quantity]]</f>
        <v>135000</v>
      </c>
    </row>
    <row r="114" spans="1:16" x14ac:dyDescent="0.3">
      <c r="A114" t="s">
        <v>198</v>
      </c>
      <c r="B114" s="6">
        <v>46300</v>
      </c>
      <c r="C114" t="s">
        <v>23</v>
      </c>
      <c r="D114" t="s">
        <v>49</v>
      </c>
      <c r="E114" t="s">
        <v>38</v>
      </c>
      <c r="F114" t="s">
        <v>39</v>
      </c>
      <c r="G114">
        <v>123</v>
      </c>
      <c r="H114">
        <v>55</v>
      </c>
      <c r="I114" s="4">
        <v>90000</v>
      </c>
      <c r="J114">
        <v>38</v>
      </c>
      <c r="K114" t="s">
        <v>40</v>
      </c>
      <c r="L114" t="s">
        <v>41</v>
      </c>
      <c r="M114">
        <v>4.0999999999999996</v>
      </c>
      <c r="N114">
        <v>2</v>
      </c>
      <c r="O114" s="4">
        <v>20000</v>
      </c>
      <c r="P114">
        <f>Table1[[#This Row],[Price]]*Table1[[#This Row],[Sales_Quantity]]</f>
        <v>180000</v>
      </c>
    </row>
    <row r="115" spans="1:16" x14ac:dyDescent="0.3">
      <c r="A115" t="s">
        <v>199</v>
      </c>
      <c r="B115" s="6">
        <v>46301</v>
      </c>
      <c r="C115" t="s">
        <v>16</v>
      </c>
      <c r="D115" t="s">
        <v>53</v>
      </c>
      <c r="E115" t="s">
        <v>18</v>
      </c>
      <c r="F115" t="s">
        <v>70</v>
      </c>
      <c r="G115">
        <v>349</v>
      </c>
      <c r="H115">
        <v>36</v>
      </c>
      <c r="I115" s="4">
        <v>175000</v>
      </c>
      <c r="J115">
        <v>27</v>
      </c>
      <c r="K115" t="s">
        <v>47</v>
      </c>
      <c r="L115" t="s">
        <v>21</v>
      </c>
      <c r="M115">
        <v>4.5999999999999996</v>
      </c>
      <c r="N115">
        <v>1</v>
      </c>
      <c r="O115" s="4">
        <v>20000</v>
      </c>
      <c r="P115">
        <f>Table1[[#This Row],[Price]]*Table1[[#This Row],[Sales_Quantity]]</f>
        <v>175000</v>
      </c>
    </row>
    <row r="116" spans="1:16" x14ac:dyDescent="0.3">
      <c r="A116" t="s">
        <v>200</v>
      </c>
      <c r="B116" s="6">
        <v>46302</v>
      </c>
      <c r="C116" t="s">
        <v>57</v>
      </c>
      <c r="D116" t="s">
        <v>58</v>
      </c>
      <c r="E116" t="s">
        <v>25</v>
      </c>
      <c r="F116" t="s">
        <v>86</v>
      </c>
      <c r="G116">
        <v>155</v>
      </c>
      <c r="H116">
        <v>45</v>
      </c>
      <c r="I116" s="4">
        <v>205000</v>
      </c>
      <c r="J116">
        <v>23</v>
      </c>
      <c r="K116" t="s">
        <v>34</v>
      </c>
      <c r="L116" t="s">
        <v>28</v>
      </c>
      <c r="M116">
        <v>4.5</v>
      </c>
      <c r="N116">
        <v>1</v>
      </c>
      <c r="O116" s="4">
        <v>22000</v>
      </c>
      <c r="P116">
        <f>Table1[[#This Row],[Price]]*Table1[[#This Row],[Sales_Quantity]]</f>
        <v>205000</v>
      </c>
    </row>
    <row r="117" spans="1:16" x14ac:dyDescent="0.3">
      <c r="A117" t="s">
        <v>201</v>
      </c>
      <c r="B117" s="6">
        <v>46303</v>
      </c>
      <c r="C117" t="s">
        <v>43</v>
      </c>
      <c r="D117" t="s">
        <v>44</v>
      </c>
      <c r="E117" t="s">
        <v>32</v>
      </c>
      <c r="F117" t="s">
        <v>92</v>
      </c>
      <c r="G117">
        <v>373</v>
      </c>
      <c r="H117">
        <v>28</v>
      </c>
      <c r="I117" s="4">
        <v>340000</v>
      </c>
      <c r="J117">
        <v>35</v>
      </c>
      <c r="K117" t="s">
        <v>47</v>
      </c>
      <c r="L117" t="s">
        <v>21</v>
      </c>
      <c r="M117">
        <v>4.8</v>
      </c>
      <c r="N117">
        <v>1</v>
      </c>
      <c r="O117" s="4">
        <v>38000</v>
      </c>
      <c r="P117">
        <f>Table1[[#This Row],[Price]]*Table1[[#This Row],[Sales_Quantity]]</f>
        <v>340000</v>
      </c>
    </row>
    <row r="118" spans="1:16" x14ac:dyDescent="0.3">
      <c r="A118" t="s">
        <v>202</v>
      </c>
      <c r="B118" s="6">
        <v>46304</v>
      </c>
      <c r="C118" t="s">
        <v>36</v>
      </c>
      <c r="D118" t="s">
        <v>37</v>
      </c>
      <c r="E118" t="s">
        <v>18</v>
      </c>
      <c r="F118" t="s">
        <v>50</v>
      </c>
      <c r="G118">
        <v>349</v>
      </c>
      <c r="H118">
        <v>41</v>
      </c>
      <c r="I118" s="4">
        <v>195000</v>
      </c>
      <c r="J118">
        <v>30</v>
      </c>
      <c r="K118" t="s">
        <v>76</v>
      </c>
      <c r="L118" t="s">
        <v>67</v>
      </c>
      <c r="M118">
        <v>4.4000000000000004</v>
      </c>
      <c r="N118">
        <v>2</v>
      </c>
      <c r="O118" s="4">
        <v>44000</v>
      </c>
      <c r="P118">
        <f>Table1[[#This Row],[Price]]*Table1[[#This Row],[Sales_Quantity]]</f>
        <v>390000</v>
      </c>
    </row>
    <row r="119" spans="1:16" x14ac:dyDescent="0.3">
      <c r="A119" t="s">
        <v>203</v>
      </c>
      <c r="B119" s="6">
        <v>46305</v>
      </c>
      <c r="C119" t="s">
        <v>16</v>
      </c>
      <c r="D119" t="s">
        <v>81</v>
      </c>
      <c r="E119" t="s">
        <v>38</v>
      </c>
      <c r="F119" t="s">
        <v>79</v>
      </c>
      <c r="G119">
        <v>124</v>
      </c>
      <c r="H119">
        <v>60</v>
      </c>
      <c r="I119" s="4">
        <v>105000</v>
      </c>
      <c r="J119">
        <v>21</v>
      </c>
      <c r="K119" t="s">
        <v>27</v>
      </c>
      <c r="L119" t="s">
        <v>28</v>
      </c>
      <c r="M119">
        <v>4.2</v>
      </c>
      <c r="N119">
        <v>1</v>
      </c>
      <c r="O119" s="4">
        <v>12000</v>
      </c>
      <c r="P119">
        <f>Table1[[#This Row],[Price]]*Table1[[#This Row],[Sales_Quantity]]</f>
        <v>105000</v>
      </c>
    </row>
    <row r="120" spans="1:16" x14ac:dyDescent="0.3">
      <c r="A120" t="s">
        <v>204</v>
      </c>
      <c r="B120" s="6">
        <v>46306</v>
      </c>
      <c r="C120" t="s">
        <v>23</v>
      </c>
      <c r="D120" t="s">
        <v>24</v>
      </c>
      <c r="E120" t="s">
        <v>54</v>
      </c>
      <c r="F120" t="s">
        <v>75</v>
      </c>
      <c r="G120">
        <v>225</v>
      </c>
      <c r="H120">
        <v>42</v>
      </c>
      <c r="I120" s="4">
        <v>165000</v>
      </c>
      <c r="J120">
        <v>26</v>
      </c>
      <c r="K120" t="s">
        <v>20</v>
      </c>
      <c r="L120" t="s">
        <v>21</v>
      </c>
      <c r="M120">
        <v>4.7</v>
      </c>
      <c r="N120">
        <v>1</v>
      </c>
      <c r="O120" s="4">
        <v>18000</v>
      </c>
      <c r="P120">
        <f>Table1[[#This Row],[Price]]*Table1[[#This Row],[Sales_Quantity]]</f>
        <v>165000</v>
      </c>
    </row>
    <row r="121" spans="1:16" x14ac:dyDescent="0.3">
      <c r="A121" t="s">
        <v>205</v>
      </c>
      <c r="B121" s="6">
        <v>46307</v>
      </c>
      <c r="C121" t="s">
        <v>30</v>
      </c>
      <c r="D121" t="s">
        <v>63</v>
      </c>
      <c r="E121" t="s">
        <v>18</v>
      </c>
      <c r="F121" t="s">
        <v>19</v>
      </c>
      <c r="G121">
        <v>452</v>
      </c>
      <c r="H121">
        <v>29</v>
      </c>
      <c r="I121" s="4">
        <v>260000</v>
      </c>
      <c r="J121">
        <v>32</v>
      </c>
      <c r="K121" t="s">
        <v>47</v>
      </c>
      <c r="L121" t="s">
        <v>21</v>
      </c>
      <c r="M121">
        <v>4.9000000000000004</v>
      </c>
      <c r="N121">
        <v>1</v>
      </c>
      <c r="O121" s="4">
        <v>30000</v>
      </c>
      <c r="P121">
        <f>Table1[[#This Row],[Price]]*Table1[[#This Row],[Sales_Quantity]]</f>
        <v>260000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Sheet3</vt:lpstr>
      <vt:lpstr>Sheet4</vt:lpstr>
      <vt:lpstr>Sheet5</vt:lpstr>
      <vt:lpstr>Dashboard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shireeshamedapatishire@gmail.com</dc:creator>
  <cp:lastModifiedBy>shireeshamedapatishire@gmail.com</cp:lastModifiedBy>
  <dcterms:created xsi:type="dcterms:W3CDTF">2026-08-14T07:14:46Z</dcterms:created>
  <dcterms:modified xsi:type="dcterms:W3CDTF">2026-08-14T18:15:51Z</dcterms:modified>
</cp:coreProperties>
</file>